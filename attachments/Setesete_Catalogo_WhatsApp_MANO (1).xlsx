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Cardápio Mestre" sheetId="2" state="visible" r:id="rId4"/>
    <sheet name="Catálogo WhatsApp" sheetId="3" state="visible" r:id="rId5"/>
    <sheet name="Catálogo MANO" sheetId="4" state="visible" r:id="rId6"/>
    <sheet name="Colecções" sheetId="5" state="visible" r:id="rId7"/>
    <sheet name="Serviços LinkedIn" sheetId="6" state="visible" r:id="rId8"/>
    <sheet name="Notas de inovação" sheetId="7" state="visible" r:id="rId9"/>
    <sheet name="Resumo preços" sheetId="8" state="visible" r:id="rId10"/>
  </sheets>
  <definedNames>
    <definedName function="false" hidden="false" localSheetId="1" name="_xlnm.Print_Titles" vbProcedure="false">'Cardápio Mestre'!$1:$1</definedName>
    <definedName function="false" hidden="true" localSheetId="1" name="_xlnm._FilterDatabase" vbProcedure="false">'Cardápio Mestre'!$A$1:$O$66</definedName>
    <definedName function="false" hidden="true" localSheetId="3" name="_xlnm._FilterDatabase" vbProcedure="false">'Catálogo MANO'!$A$1:$I$66</definedName>
    <definedName function="false" hidden="true" localSheetId="2" name="_xlnm._FilterDatabase" vbProcedure="false">'Catálogo WhatsApp'!$A$1:$I$66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<sst xmlns="http://schemas.openxmlformats.org/spreadsheetml/2006/main" count="1859" uniqueCount="548">
  <si>
    <t xml:space="preserve">SETE SETE</t>
  </si>
  <si>
    <t xml:space="preserve">Cardápio Delivery · WhatsApp Business · MANO</t>
  </si>
  <si>
    <t xml:space="preserve">Luanda  ·  12h–22h  ·  Hashi incluídos em todos os pratos</t>
  </si>
  <si>
    <t xml:space="preserve">Como usar este ficheiro</t>
  </si>
  <si>
    <t xml:space="preserve">1. Folha «Cardápio Mestre» — operação de cozinha: SKU, ingredientes, tempo, origem da receita, destaque.</t>
  </si>
  <si>
    <t xml:space="preserve">2. Folha «Catálogo WhatsApp» — copiar campo a campo para o Gestor de Catálogo (nome, descrição, preço, colecção).</t>
  </si>
  <si>
    <t xml:space="preserve">3. Folha «Catálogo MANO» — a mesma grelha com SKU e nome estável para não dessincronizar preços entre canais.</t>
  </si>
  <si>
    <t xml:space="preserve">4. Folha «Colecções» — nomes exactos das colecções a criar no WhatsApp Business.</t>
  </si>
  <si>
    <t xml:space="preserve">5. Folha «Serviços LinkedIn» — serviços a activar na página da empresa.</t>
  </si>
  <si>
    <t xml:space="preserve">6. Folha «Notas de inovação» — o que mudou face ao cardápio anterior e porquê, para o mercado de Luanda.</t>
  </si>
  <si>
    <t xml:space="preserve">Regra de ouro</t>
  </si>
  <si>
    <t xml:space="preserve">Todos os pratos incluem hashi no preço. Nunca vender hashi à parte. O kit extra é só shoyu / gari / wasabi.</t>
  </si>
  <si>
    <t xml:space="preserve">Um só preço em todos os canais: WhatsApp, MANO e site. SKU único. Sem promoções diferentes sem actualizar as três folhas.</t>
  </si>
  <si>
    <t xml:space="preserve">Tom da marca: preciso, quente, sem emoji no nome do produto. A vida está na frase de apetite, não no excesso.</t>
  </si>
  <si>
    <t xml:space="preserve">Identidade</t>
  </si>
  <si>
    <t xml:space="preserve">Kaki #E24A17  ·  Arroz #F4F0E8  ·  Nori #231F1C  ·  Tinta #1A1714</t>
  </si>
  <si>
    <t xml:space="preserve">Tipografia de marca: Cormorant Garamond (títulos) + Outfit (UI). Neste Excel usa-se Arial por compatibilidade.</t>
  </si>
  <si>
    <t xml:space="preserve">Contacto: +244 945 407 841  ·  orlog.arrulo@setesete.ao  ·  @setesete.ao</t>
  </si>
  <si>
    <t xml:space="preserve">SKU</t>
  </si>
  <si>
    <t xml:space="preserve">Colecção WA</t>
  </si>
  <si>
    <t xml:space="preserve">Categoria</t>
  </si>
  <si>
    <t xml:space="preserve">Nome</t>
  </si>
  <si>
    <t xml:space="preserve">Nome no catálogo</t>
  </si>
  <si>
    <t xml:space="preserve">Peças</t>
  </si>
  <si>
    <t xml:space="preserve">Preço (Kz)</t>
  </si>
  <si>
    <t xml:space="preserve">Tempo (min)</t>
  </si>
  <si>
    <t xml:space="preserve">Destaque</t>
  </si>
  <si>
    <t xml:space="preserve">Origem</t>
  </si>
  <si>
    <t xml:space="preserve">Descrição de apetite</t>
  </si>
  <si>
    <t xml:space="preserve">Ingredientes</t>
  </si>
  <si>
    <t xml:space="preserve">Nota de operação</t>
  </si>
  <si>
    <t xml:space="preserve">Descrição WhatsApp / MANO</t>
  </si>
  <si>
    <t xml:space="preserve">Hashi</t>
  </si>
  <si>
    <t xml:space="preserve">SS-ENT-01</t>
  </si>
  <si>
    <t xml:space="preserve">Entradas</t>
  </si>
  <si>
    <t xml:space="preserve">Tempura de Camarão</t>
  </si>
  <si>
    <t xml:space="preserve">clássico</t>
  </si>
  <si>
    <t xml:space="preserve">base</t>
  </si>
  <si>
    <t xml:space="preserve">Camarão fresco em massa leve, dourada até o estalo. O primeiro gesto da mesa.</t>
  </si>
  <si>
    <t xml:space="preserve">Camarão fresco, massa tempura, óleo de fritura, molho tentsuyu</t>
  </si>
  <si>
    <t xml:space="preserve">6 unidades. Servir imediatamente.</t>
  </si>
  <si>
    <t xml:space="preserve">Camarão fresco em massa leve, dourada até o estalo. O primeiro gesto da mesa. 6 unidades. Preparação ±9 min. Hashi incluídos no preço.</t>
  </si>
  <si>
    <t xml:space="preserve">Hashi incluídos no preço.</t>
  </si>
  <si>
    <t xml:space="preserve">SS-ENT-02</t>
  </si>
  <si>
    <t xml:space="preserve">Rolinhos Primavera</t>
  </si>
  <si>
    <t xml:space="preserve">Massa fina e crocante, recheio quente de frango, cebola e cenoura.</t>
  </si>
  <si>
    <t xml:space="preserve">Massa de rolinho, frango desfiado, cebola, cenoura, alho, gengibre</t>
  </si>
  <si>
    <t xml:space="preserve">4 unidades. Opção carne suína sob reserva.</t>
  </si>
  <si>
    <t xml:space="preserve">Massa fina e crocante, recheio quente de frango, cebola e cenoura. 4 unidades. Preparação ±9 min. Hashi incluídos no preço.</t>
  </si>
  <si>
    <t xml:space="preserve">SS-ENT-03</t>
  </si>
  <si>
    <t xml:space="preserve">Coxinha de Camarão</t>
  </si>
  <si>
    <t xml:space="preserve">Três coxinhas douradas, recheio cremoso de camarão e Philadelphia.</t>
  </si>
  <si>
    <t xml:space="preserve">Massa de coxinha, camarão, queijo Philadelphia</t>
  </si>
  <si>
    <t xml:space="preserve">3 unidades.</t>
  </si>
  <si>
    <t xml:space="preserve">Três coxinhas douradas, recheio cremoso de camarão e Philadelphia. 3 unidades. Preparação ±10 min. Hashi incluídos no preço.</t>
  </si>
  <si>
    <t xml:space="preserve">SS-ENT-04</t>
  </si>
  <si>
    <t xml:space="preserve">Croquetes de Alheira</t>
  </si>
  <si>
    <t xml:space="preserve">Alheira, cebola e ovo numa crosta que parte no primeiro dente.</t>
  </si>
  <si>
    <t xml:space="preserve">Massa de croquete, alheira, cebola, ovo</t>
  </si>
  <si>
    <t xml:space="preserve">3 unidades. Ponte portuguesa-angolana da casa.</t>
  </si>
  <si>
    <t xml:space="preserve">Alheira, cebola e ovo numa crosta que parte no primeiro dente. 3 unidades. Preparação ±10 min. Hashi incluídos no preço.</t>
  </si>
  <si>
    <t xml:space="preserve">SS-ENT-05</t>
  </si>
  <si>
    <t xml:space="preserve">Tempura de Legumes</t>
  </si>
  <si>
    <t xml:space="preserve">vegetariano</t>
  </si>
  <si>
    <t xml:space="preserve">Curgete, cenoura, cogumelo e pimento numa tempura quase transparente.</t>
  </si>
  <si>
    <t xml:space="preserve">Curgete, cenoura, cogumelo, pimentos, massa tempura, molho tentsuyu</t>
  </si>
  <si>
    <t xml:space="preserve">4 unidades. Prato vegetariano.</t>
  </si>
  <si>
    <t xml:space="preserve">Curgete, cenoura, cogumelo e pimento numa tempura quase transparente. 4 unidades. Preparação ±15 min. Hashi incluídos no preço.</t>
  </si>
  <si>
    <t xml:space="preserve">SS-ENT-06</t>
  </si>
  <si>
    <t xml:space="preserve">Edamame com Flor de Sal</t>
  </si>
  <si>
    <t xml:space="preserve">novo</t>
  </si>
  <si>
    <t xml:space="preserve">Vagens quentes, sal em flor. O aperitivo que abre o apetite sem pesar.</t>
  </si>
  <si>
    <t xml:space="preserve">Edamame, flor de sal, azeite de sésamo</t>
  </si>
  <si>
    <t xml:space="preserve">Porção para partilhar. Vegetariano.</t>
  </si>
  <si>
    <t xml:space="preserve">Vagens quentes, sal em flor. O aperitivo que abre o apetite sem pesar. Preparação ±6 min. Hashi incluídos no preço.</t>
  </si>
  <si>
    <t xml:space="preserve">SS-ENT-07</t>
  </si>
  <si>
    <t xml:space="preserve">Gyozas de Camarão</t>
  </si>
  <si>
    <t xml:space="preserve">Cinco gyozas seladas na chapa, suculentas por dentro, douradas na base.</t>
  </si>
  <si>
    <t xml:space="preserve">Massa gyoza, camarão, alho-francês, gengibre, molho ponzu</t>
  </si>
  <si>
    <t xml:space="preserve">5 unidades.</t>
  </si>
  <si>
    <t xml:space="preserve">Cinco gyozas seladas na chapa, suculentas por dentro, douradas na base. 5 unidades. Preparação ±12 min. Hashi incluídos no preço.</t>
  </si>
  <si>
    <t xml:space="preserve">SS-OUR-16</t>
  </si>
  <si>
    <t xml:space="preserve">Combinados Ouro</t>
  </si>
  <si>
    <t xml:space="preserve">Combinado Ouro 16</t>
  </si>
  <si>
    <t xml:space="preserve">Combinado Ouro 16 peças</t>
  </si>
  <si>
    <t xml:space="preserve">premium</t>
  </si>
  <si>
    <t xml:space="preserve">Só salmão. Makis e niguiris numa caixa precisa para dois.</t>
  </si>
  <si>
    <t xml:space="preserve">Salmão fresco, arroz de sushi, alga nori, queijo creme</t>
  </si>
  <si>
    <t xml:space="preserve">Máximo foco em salmão. 2 pessoas.</t>
  </si>
  <si>
    <t xml:space="preserve">Só salmão. Makis e niguiris numa caixa precisa para dois. 16 peças. Preparação ±15 min. Hashi incluídos no preço.</t>
  </si>
  <si>
    <t xml:space="preserve">SS-OUR-26</t>
  </si>
  <si>
    <t xml:space="preserve">Combinado Ouro 26</t>
  </si>
  <si>
    <t xml:space="preserve">Combinado Ouro 26 peças</t>
  </si>
  <si>
    <t xml:space="preserve">A escala intermédia do salmão Sete Sete. Generosa, ainda íntima.</t>
  </si>
  <si>
    <t xml:space="preserve">2 a 3 pessoas.</t>
  </si>
  <si>
    <t xml:space="preserve">A escala intermédia do salmão Sete Sete. Generosa, ainda íntima. 26 peças. Preparação ±20 min. Hashi incluídos no preço.</t>
  </si>
  <si>
    <t xml:space="preserve">SS-OUR-32</t>
  </si>
  <si>
    <t xml:space="preserve">Combinado Ouro 32</t>
  </si>
  <si>
    <t xml:space="preserve">Combinado Ouro 32 peças</t>
  </si>
  <si>
    <t xml:space="preserve">Sushi, sashimi e makis de salmão. A mesa completa sem excesso.</t>
  </si>
  <si>
    <t xml:space="preserve">Salmão fresco, arroz de sushi, alga nori, abacate</t>
  </si>
  <si>
    <t xml:space="preserve">3 a 4 pessoas.</t>
  </si>
  <si>
    <t xml:space="preserve">Sushi, sashimi e makis de salmão. A mesa completa sem excesso. 32 peças. Preparação ±25 min. Hashi incluídos no preço.</t>
  </si>
  <si>
    <t xml:space="preserve">SS-OUR-45</t>
  </si>
  <si>
    <t xml:space="preserve">Combinado Ouro Chef 45</t>
  </si>
  <si>
    <t xml:space="preserve">Combinado Ouro Chef 45 peças</t>
  </si>
  <si>
    <t xml:space="preserve">chef</t>
  </si>
  <si>
    <t xml:space="preserve">O combinado definitivo da casa. Recomendado pelo chef. Salmão no centro.</t>
  </si>
  <si>
    <t xml:space="preserve">Salmão fresco, arroz de sushi, alga nori, queijo creme, abacate</t>
  </si>
  <si>
    <t xml:space="preserve">4 a 6 pessoas. Peça com 40 min de antecedência ao fim de semana.</t>
  </si>
  <si>
    <t xml:space="preserve">O combinado definitivo da casa. Recomendado pelo chef. Salmão no centro. 45 peças. Preparação ±35 min. Hashi incluídos no preço.</t>
  </si>
  <si>
    <t xml:space="preserve">SS-MES-16</t>
  </si>
  <si>
    <t xml:space="preserve">Combinados Mesa</t>
  </si>
  <si>
    <t xml:space="preserve">Combinado Mesa 16</t>
  </si>
  <si>
    <t xml:space="preserve">Combinado Mesa 16 peças</t>
  </si>
  <si>
    <t xml:space="preserve">Mix equilibrado: até 6 peças de salmão, peixe do dia, makis e niguiris.</t>
  </si>
  <si>
    <t xml:space="preserve">Salmão, peixe do dia, arroz de sushi, alga nori</t>
  </si>
  <si>
    <t xml:space="preserve">Até 6 peças de salmão. 2 pessoas.</t>
  </si>
  <si>
    <t xml:space="preserve">Mix equilibrado: até 6 peças de salmão, peixe do dia, makis e niguiris. 16 peças. Preparação ±15 min. Hashi incluídos no preço.</t>
  </si>
  <si>
    <t xml:space="preserve">SS-MES-26</t>
  </si>
  <si>
    <t xml:space="preserve">Combinado Mesa 26</t>
  </si>
  <si>
    <t xml:space="preserve">Combinado Mesa 26 peças</t>
  </si>
  <si>
    <t xml:space="preserve">Até 12 peças de salmão. O melhor custo-benefício para partilhar.</t>
  </si>
  <si>
    <t xml:space="preserve">Preço arredondado de 29.250. 2 a 3 pessoas.</t>
  </si>
  <si>
    <t xml:space="preserve">Até 12 peças de salmão. O melhor custo-benefício para partilhar. 26 peças. Preparação ±20 min. Hashi incluídos no preço.</t>
  </si>
  <si>
    <t xml:space="preserve">SS-MES-32</t>
  </si>
  <si>
    <t xml:space="preserve">Combinado Mesa 32</t>
  </si>
  <si>
    <t xml:space="preserve">Combinado Mesa 32 peças</t>
  </si>
  <si>
    <t xml:space="preserve">Até 18 peças de salmão. Festival de texturas para a mesa do meio.</t>
  </si>
  <si>
    <t xml:space="preserve">Até 18 peças de salmão. Festival de texturas para a mesa do meio. 32 peças. Preparação ±25 min. Hashi incluídos no preço.</t>
  </si>
  <si>
    <t xml:space="preserve">SS-MES-45</t>
  </si>
  <si>
    <t xml:space="preserve">Combinado Mesa 45</t>
  </si>
  <si>
    <t xml:space="preserve">Combinado Mesa 45 peças</t>
  </si>
  <si>
    <t xml:space="preserve">Até 25 peças de salmão. Para encontros longos e noites especiais.</t>
  </si>
  <si>
    <t xml:space="preserve">Arredondado de 50.625. 4 a 6 pessoas.</t>
  </si>
  <si>
    <t xml:space="preserve">Até 25 peças de salmão. Para encontros longos e noites especiais. 45 peças. Preparação ±35 min. Hashi incluídos no preço.</t>
  </si>
  <si>
    <t xml:space="preserve">SS-ASN-77</t>
  </si>
  <si>
    <t xml:space="preserve">Assinatura Luanda</t>
  </si>
  <si>
    <t xml:space="preserve">Combinado 77</t>
  </si>
  <si>
    <t xml:space="preserve">Combinado 77 — assinatura</t>
  </si>
  <si>
    <t xml:space="preserve">Vinte e quatro peças pensadas pelo chef: salmão, ebi, atum e o toque da casa.</t>
  </si>
  <si>
    <t xml:space="preserve">Salmão, atum, camarão, arroz de sushi, alga nori, queijo creme, molho 77</t>
  </si>
  <si>
    <t xml:space="preserve">24 peças. A assinatura da marca. 2 a 3 pessoas.</t>
  </si>
  <si>
    <t xml:space="preserve">Vinte e quatro peças pensadas pelo chef: salmão, ebi, atum e o toque da casa. 24 peças. Preparação ±22 min. Hashi incluídos no preço.</t>
  </si>
  <si>
    <t xml:space="preserve">SS-ASN-IL</t>
  </si>
  <si>
    <t xml:space="preserve">Combinado Ilha</t>
  </si>
  <si>
    <t xml:space="preserve">Combinado Ilha 20 peças</t>
  </si>
  <si>
    <t xml:space="preserve">Salmão, camarão e manga madura. O brisa da Ilha numa caixa.</t>
  </si>
  <si>
    <t xml:space="preserve">Salmão fresco, camarão, manga, arroz de sushi, alga nori, toque cítrico</t>
  </si>
  <si>
    <t xml:space="preserve">20 peças. 2 pessoas. Sazonal quando a manga estiver no ponto.</t>
  </si>
  <si>
    <t xml:space="preserve">Salmão, camarão e manga madura. O brisa da Ilha numa caixa. 20 peças. Preparação ±18 min. Hashi incluídos no preço.</t>
  </si>
  <si>
    <t xml:space="preserve">SS-ASN-TL</t>
  </si>
  <si>
    <t xml:space="preserve">Combinado Talatona</t>
  </si>
  <si>
    <t xml:space="preserve">Combinado Talatona 30 peças</t>
  </si>
  <si>
    <t xml:space="preserve">O combinado corporativo: elegante, variado, fácil de partilhar no escritório.</t>
  </si>
  <si>
    <t xml:space="preserve">Salmão, atum, california, hot filadélfia, niguiris, arroz, nori</t>
  </si>
  <si>
    <t xml:space="preserve">30 peças. 3 a 4 pessoas ou reunião.</t>
  </si>
  <si>
    <t xml:space="preserve">O combinado corporativo: elegante, variado, fácil de partilhar no escritório. 30 peças. Preparação ±24 min. Hashi incluídos no preço.</t>
  </si>
  <si>
    <t xml:space="preserve">SS-ASN-FM</t>
  </si>
  <si>
    <t xml:space="preserve">Combinado Família Domingo</t>
  </si>
  <si>
    <t xml:space="preserve">Combinado Família Domingo 60 peças</t>
  </si>
  <si>
    <t xml:space="preserve">Sessenta peças para a mesa grande. Salmão, hots, uramakis e niguiris.</t>
  </si>
  <si>
    <t xml:space="preserve">Salmão, peixe do dia, camarão, arroz, nori, queijo creme, panko</t>
  </si>
  <si>
    <t xml:space="preserve">6 a 8 pessoas. Encomendar com 60 min. Fim-de-semana.</t>
  </si>
  <si>
    <t xml:space="preserve">Sessenta peças para a mesa grande. Salmão, hots, uramakis e niguiris. 60 peças. Preparação ±45 min. Hashi incluídos no preço.</t>
  </si>
  <si>
    <t xml:space="preserve">SS-TMK-SL</t>
  </si>
  <si>
    <t xml:space="preserve">Temakis</t>
  </si>
  <si>
    <t xml:space="preserve">Temaki de Salmão</t>
  </si>
  <si>
    <t xml:space="preserve">Cone de nori, arroz temperado, salmão fresco cortado na hora.</t>
  </si>
  <si>
    <t xml:space="preserve">Alga nori, arroz de sushi, salmão fresco</t>
  </si>
  <si>
    <t xml:space="preserve">1 unidade. Comer de imediato.</t>
  </si>
  <si>
    <t xml:space="preserve">Cone de nori, arroz temperado, salmão fresco cortado na hora. 1 cone. Preparação ±6 min. Hashi incluídos no preço.</t>
  </si>
  <si>
    <t xml:space="preserve">SS-TMK-AT</t>
  </si>
  <si>
    <t xml:space="preserve">Temaki de Atum</t>
  </si>
  <si>
    <t xml:space="preserve">Atum fresco e pepino crocante no cone que se segura com uma mão.</t>
  </si>
  <si>
    <t xml:space="preserve">Alga nori, arroz de sushi, atum fresco, pepino</t>
  </si>
  <si>
    <t xml:space="preserve">1 unidade.</t>
  </si>
  <si>
    <t xml:space="preserve">Atum fresco e pepino crocante no cone que se segura com uma mão. 1 cone. Preparação ±6 min. Hashi incluídos no preço.</t>
  </si>
  <si>
    <t xml:space="preserve">SS-TMK-77</t>
  </si>
  <si>
    <t xml:space="preserve">Temaki Sete Sete</t>
  </si>
  <si>
    <t xml:space="preserve">Mix de peixes nobres, cream cheese e molho 77. O temaki da casa.</t>
  </si>
  <si>
    <t xml:space="preserve">Nori, arroz, salmão, atum, queijo creme, molho 77 (unagi + toque cítrico)</t>
  </si>
  <si>
    <t xml:space="preserve">Antes chamado Temaki Especial. Recheio confirmado.</t>
  </si>
  <si>
    <t xml:space="preserve">Mix de peixes nobres, cream cheese e molho 77. O temaki da casa. 1 cone. Preparação ±7 min. Hashi incluídos no preço.</t>
  </si>
  <si>
    <t xml:space="preserve">SS-TMK-MG</t>
  </si>
  <si>
    <t xml:space="preserve">Temaki Manga-Piri</t>
  </si>
  <si>
    <t xml:space="preserve">Salmão, manga e um fio de piri-piri doce. Angola no cone.</t>
  </si>
  <si>
    <t xml:space="preserve">Nori, arroz, salmão, manga, piri-piri doce da casa, gergelim</t>
  </si>
  <si>
    <t xml:space="preserve">Picante suave.</t>
  </si>
  <si>
    <t xml:space="preserve">Salmão, manga e um fio de piri-piri doce. Angola no cone. 1 cone. Preparação ±7 min. Hashi incluídos no preço.</t>
  </si>
  <si>
    <t xml:space="preserve">SS-TMK-CR</t>
  </si>
  <si>
    <t xml:space="preserve">Temaki Crocante</t>
  </si>
  <si>
    <t xml:space="preserve">Salmão, cream cheese e cebola crispy. Quente por fora, fresco por dentro.</t>
  </si>
  <si>
    <t xml:space="preserve">Nori, arroz, salmão, queijo creme, cebola crispy, panko</t>
  </si>
  <si>
    <t xml:space="preserve">Servir de imediato para manter o crocante.</t>
  </si>
  <si>
    <t xml:space="preserve">Salmão, cream cheese e cebola crispy. Quente por fora, fresco por dentro. 1 cone. Preparação ±8 min. Hashi incluídos no preço.</t>
  </si>
  <si>
    <t xml:space="preserve">SS-HOT-FL</t>
  </si>
  <si>
    <t xml:space="preserve">Hots</t>
  </si>
  <si>
    <t xml:space="preserve">Hot Filadélfia</t>
  </si>
  <si>
    <t xml:space="preserve">Oito peças empanadas. Salmão fresco e a cremosidade do Philadelphia.</t>
  </si>
  <si>
    <t xml:space="preserve">Salmão fresco, queijo creme, arroz, nori, panko</t>
  </si>
  <si>
    <t xml:space="preserve">8 unidades.</t>
  </si>
  <si>
    <t xml:space="preserve">Oito peças empanadas. Salmão fresco e a cremosidade do Philadelphia. 8 peças. Preparação ±12 min. Hashi incluídos no preço.</t>
  </si>
  <si>
    <t xml:space="preserve">SS-HOT-GS</t>
  </si>
  <si>
    <t xml:space="preserve">Hot Gasai</t>
  </si>
  <si>
    <t xml:space="preserve">Salmão, cream cheese, cebola crispy e teriyaki sob crosta de panko.</t>
  </si>
  <si>
    <t xml:space="preserve">Salmão, queijo creme, cebola crispy, molho teriyaki, arroz, nori, panko</t>
  </si>
  <si>
    <t xml:space="preserve">Recheio confirmado (antes: a confirmar).</t>
  </si>
  <si>
    <t xml:space="preserve">Salmão, cream cheese, cebola crispy e teriyaki sob crosta de panko. 8 peças. Preparação ±12 min. Hashi incluídos no preço.</t>
  </si>
  <si>
    <t xml:space="preserve">SS-HOT-FR</t>
  </si>
  <si>
    <t xml:space="preserve">Hot Fray</t>
  </si>
  <si>
    <t xml:space="preserve">Frango desfiado, cream cheese e pepino. Quente, suave, equilibrado.</t>
  </si>
  <si>
    <t xml:space="preserve">Frango, queijo creme, pepino, arroz, nori, panko</t>
  </si>
  <si>
    <t xml:space="preserve">Recheio confirmado. Boa porta de entrada para quem começa no sushi.</t>
  </si>
  <si>
    <t xml:space="preserve">Frango desfiado, cream cheese e pepino. Quente, suave, equilibrado. 8 peças. Preparação ±12 min. Hashi incluídos no preço.</t>
  </si>
  <si>
    <t xml:space="preserve">SS-HOT-ST</t>
  </si>
  <si>
    <t xml:space="preserve">Hot Spicy Tuna</t>
  </si>
  <si>
    <t xml:space="preserve">Atum picante sob crosta estaladiça. Calor certo, sem agressão.</t>
  </si>
  <si>
    <t xml:space="preserve">Atum, molho picante da casa, arroz, nori, panko</t>
  </si>
  <si>
    <t xml:space="preserve">8 unidades. Picante médio.</t>
  </si>
  <si>
    <t xml:space="preserve">Atum picante sob crosta estaladiça. Calor certo, sem agressão. 8 peças. Preparação ±12 min. Hashi incluídos no preço.</t>
  </si>
  <si>
    <t xml:space="preserve">SS-HOT-CF</t>
  </si>
  <si>
    <t xml:space="preserve">Hot do Chefe</t>
  </si>
  <si>
    <t xml:space="preserve">Salmão flamejado, molho unagi e gergelim. A peça quente da assinatura.</t>
  </si>
  <si>
    <t xml:space="preserve">Salmão flamejado, molho unagi, gergelim, arroz, nori, panko</t>
  </si>
  <si>
    <t xml:space="preserve">Recheio e molho confirmados.</t>
  </si>
  <si>
    <t xml:space="preserve">Salmão flamejado, molho unagi e gergelim. A peça quente da assinatura. 8 peças. Preparação ±13 min. Hashi incluídos no preço.</t>
  </si>
  <si>
    <t xml:space="preserve">SS-HOT-LD</t>
  </si>
  <si>
    <t xml:space="preserve">Hot Luanda</t>
  </si>
  <si>
    <t xml:space="preserve">Camarão, manga e piri-piri doce. Crocante, tropical, da cidade.</t>
  </si>
  <si>
    <t xml:space="preserve">Camarão, manga, piri-piri doce, queijo creme, arroz, nori, panko</t>
  </si>
  <si>
    <t xml:space="preserve">8 unidades. Picante suave.</t>
  </si>
  <si>
    <t xml:space="preserve">Camarão, manga e piri-piri doce. Crocante, tropical, da cidade. 8 peças. Preparação ±13 min. Hashi incluídos no preço.</t>
  </si>
  <si>
    <t xml:space="preserve">SS-GNK-77</t>
  </si>
  <si>
    <t xml:space="preserve">Gunkan</t>
  </si>
  <si>
    <t xml:space="preserve">Torrinhas Sete Sete</t>
  </si>
  <si>
    <t xml:space="preserve">Seis torrinhas de arroz crocante com tartar de salmão e cream cheese.</t>
  </si>
  <si>
    <t xml:space="preserve">Arroz crocante, salmão picado, queijo creme, cebolinho, molho 77</t>
  </si>
  <si>
    <t xml:space="preserve">Cobertura confirmada. 6 unidades.</t>
  </si>
  <si>
    <t xml:space="preserve">Seis torrinhas de arroz crocante com tartar de salmão e cream cheese. 6 peças. Preparação ±10 min. Hashi incluídos no preço.</t>
  </si>
  <si>
    <t xml:space="preserve">SS-GNK-SL</t>
  </si>
  <si>
    <t xml:space="preserve">Gunkan Fusão Salmão</t>
  </si>
  <si>
    <t xml:space="preserve">Quatro gunkan de salmão fresco com o tempero do chef.</t>
  </si>
  <si>
    <t xml:space="preserve">Arroz, nori, salmão fresco, azeite de sésamo, cebolinho</t>
  </si>
  <si>
    <t xml:space="preserve">4 unidades.</t>
  </si>
  <si>
    <t xml:space="preserve">Quatro gunkan de salmão fresco com o tempero do chef. 4 peças. Preparação ±8 min. Hashi incluídos no preço.</t>
  </si>
  <si>
    <t xml:space="preserve">SS-GNK-AT</t>
  </si>
  <si>
    <t xml:space="preserve">Gunkan Fusão Atum</t>
  </si>
  <si>
    <t xml:space="preserve">Atum picado, tempero da casa, nori e arroz. Preço alinhado à linha.</t>
  </si>
  <si>
    <t xml:space="preserve">Arroz, nori, atum fresco, tempero da casa</t>
  </si>
  <si>
    <t xml:space="preserve">Preço actualizado de 3.500 para 6.000 (paridade com a linha).</t>
  </si>
  <si>
    <t xml:space="preserve">Atum picado, tempero da casa, nori e arroz. Preço alinhado à linha. 4 peças. Preparação ±8 min. Hashi incluídos no preço.</t>
  </si>
  <si>
    <t xml:space="preserve">SS-GNK-SP</t>
  </si>
  <si>
    <t xml:space="preserve">Gunkan Spicy</t>
  </si>
  <si>
    <t xml:space="preserve">Base de atum ou salmão com spicy mayo e crispy. Antes Chitaka.</t>
  </si>
  <si>
    <t xml:space="preserve">Arroz, nori, atum ou salmão, spicy mayo, cebola crispy</t>
  </si>
  <si>
    <t xml:space="preserve">Renomeado de Gunkan Fusão Chitaka. Recheio confirmado.</t>
  </si>
  <si>
    <t xml:space="preserve">Base de atum ou salmão com spicy mayo e crispy. Antes Chitaka. 4 peças. Preparação ±8 min. Hashi incluídos no preço.</t>
  </si>
  <si>
    <t xml:space="preserve">SS-GNK-EB</t>
  </si>
  <si>
    <t xml:space="preserve">Gunkan Ebi</t>
  </si>
  <si>
    <t xml:space="preserve">Camarão fresco, toque de limão e maionese de sriracha suave.</t>
  </si>
  <si>
    <t xml:space="preserve">Arroz, nori, camarão fresco, limão, maionese sriracha</t>
  </si>
  <si>
    <t xml:space="preserve">Toque especial confirmado.</t>
  </si>
  <si>
    <t xml:space="preserve">Camarão fresco, toque de limão e maionese de sriracha suave. 4 peças. Preparação ±9 min. Hashi incluídos no preço.</t>
  </si>
  <si>
    <t xml:space="preserve">SS-URA-CA</t>
  </si>
  <si>
    <t xml:space="preserve">Uramaki</t>
  </si>
  <si>
    <t xml:space="preserve">Uramaki Califórnia</t>
  </si>
  <si>
    <t xml:space="preserve">Kani, abacate e pepino. O clássico tropical que nunca falha.</t>
  </si>
  <si>
    <t xml:space="preserve">Kani, abacate, pepino, arroz, nori</t>
  </si>
  <si>
    <t xml:space="preserve">8 unidades. Antes Huramaki.</t>
  </si>
  <si>
    <t xml:space="preserve">Kani, abacate e pepino. O clássico tropical que nunca falha. 8 peças. Preparação ±10 min. Hashi incluídos no preço.</t>
  </si>
  <si>
    <t xml:space="preserve">SS-URA-TN</t>
  </si>
  <si>
    <t xml:space="preserve">Uramaki Tuna</t>
  </si>
  <si>
    <t xml:space="preserve">Rolo invertido centrado no atum fresco.</t>
  </si>
  <si>
    <t xml:space="preserve">Atum fresco, arroz, nori</t>
  </si>
  <si>
    <t xml:space="preserve">Rolo invertido centrado no atum fresco. 8 peças. Preparação ±10 min. Hashi incluídos no preço.</t>
  </si>
  <si>
    <t xml:space="preserve">SS-URA-EB</t>
  </si>
  <si>
    <t xml:space="preserve">Uramaki Ebi</t>
  </si>
  <si>
    <t xml:space="preserve">Camarão e o toque suave do chef — limão e gergelim.</t>
  </si>
  <si>
    <t xml:space="preserve">Camarão, arroz, nori, limão, gergelim</t>
  </si>
  <si>
    <t xml:space="preserve">Tempero confirmado.</t>
  </si>
  <si>
    <t xml:space="preserve">Camarão e o toque suave do chef — limão e gergelim. 8 peças. Preparação ±10 min. Hashi incluídos no preço.</t>
  </si>
  <si>
    <t xml:space="preserve">SS-URA-FL</t>
  </si>
  <si>
    <t xml:space="preserve">Uramaki Filadélfia</t>
  </si>
  <si>
    <t xml:space="preserve">Salmão e Philadelphia. O clássico cremoso, invertido.</t>
  </si>
  <si>
    <t xml:space="preserve">Salmão fresco, queijo creme, arroz, nori</t>
  </si>
  <si>
    <t xml:space="preserve">Salmão e Philadelphia. O clássico cremoso, invertido. 8 peças. Preparação ±10 min. Hashi incluídos no preço.</t>
  </si>
  <si>
    <t xml:space="preserve">SS-URA-77</t>
  </si>
  <si>
    <t xml:space="preserve">Uramaki Sete Sete</t>
  </si>
  <si>
    <t xml:space="preserve">Salmão, camarão, cream cheese, crispy e molho 77. A explosão da casa.</t>
  </si>
  <si>
    <t xml:space="preserve">Salmão, camarão, queijo creme, cebola crispy, molho 77, arroz, nori</t>
  </si>
  <si>
    <t xml:space="preserve">Recheio premium confirmado. Recomendado pelo chef.</t>
  </si>
  <si>
    <t xml:space="preserve">Salmão, camarão, cream cheese, crispy e molho 77. A explosão da casa. 8 peças. Preparação ±12 min. Hashi incluídos no preço.</t>
  </si>
  <si>
    <t xml:space="preserve">SS-URA-MG</t>
  </si>
  <si>
    <t xml:space="preserve">Uramaki Manga</t>
  </si>
  <si>
    <t xml:space="preserve">Salmão, manga e cream cheese. Doce curto, gordura certa.</t>
  </si>
  <si>
    <t xml:space="preserve">Salmão, manga, queijo creme, arroz, nori</t>
  </si>
  <si>
    <t xml:space="preserve">8 unidades. Sazonal.</t>
  </si>
  <si>
    <t xml:space="preserve">Salmão, manga e cream cheese. Doce curto, gordura certa. 8 peças. Preparação ±10 min. Hashi incluídos no preço.</t>
  </si>
  <si>
    <t xml:space="preserve">SS-URA-CC</t>
  </si>
  <si>
    <t xml:space="preserve">Uramaki Coco-Camarão</t>
  </si>
  <si>
    <t xml:space="preserve">Camarão, coco ralado tostado e cream cheese. Costa de Luanda.</t>
  </si>
  <si>
    <t xml:space="preserve">Camarão, coco tostado, queijo creme, arroz, nori</t>
  </si>
  <si>
    <t xml:space="preserve">Camarão, coco ralado tostado e cream cheese. Costa de Luanda. 8 peças. Preparação ±11 min. Hashi incluídos no preço.</t>
  </si>
  <si>
    <t xml:space="preserve">SS-NIG-SL</t>
  </si>
  <si>
    <t xml:space="preserve">Nigiri</t>
  </si>
  <si>
    <t xml:space="preserve">Nigiri de Salmão</t>
  </si>
  <si>
    <t xml:space="preserve">Duas peças. Arroz moldado, salmão fresco a cobrir.</t>
  </si>
  <si>
    <t xml:space="preserve">Arroz de sushi, salmão fresco</t>
  </si>
  <si>
    <t xml:space="preserve">2 unidades.</t>
  </si>
  <si>
    <t xml:space="preserve">Duas peças. Arroz moldado, salmão fresco a cobrir. 2 unidades. Preparação ±5 min. Hashi incluídos no preço.</t>
  </si>
  <si>
    <t xml:space="preserve">SS-NIG-AT</t>
  </si>
  <si>
    <t xml:space="preserve">Nigiri de Atum</t>
  </si>
  <si>
    <t xml:space="preserve">Duas peças de atum no ponto, sobre arroz quente.</t>
  </si>
  <si>
    <t xml:space="preserve">Arroz de sushi, atum fresco</t>
  </si>
  <si>
    <t xml:space="preserve">Duas peças de atum no ponto, sobre arroz quente. 2 unidades. Preparação ±5 min. Hashi incluídos no preço.</t>
  </si>
  <si>
    <t xml:space="preserve">SS-NIG-EB</t>
  </si>
  <si>
    <t xml:space="preserve">Nigiri de Camarão</t>
  </si>
  <si>
    <t xml:space="preserve">Camarão cozido, aberto, pousado no arroz.</t>
  </si>
  <si>
    <t xml:space="preserve">Arroz de sushi, camarão cozido</t>
  </si>
  <si>
    <t xml:space="preserve">Camarão cozido, aberto, pousado no arroz. 2 unidades. Preparação ±5 min. Hashi incluídos no preço.</t>
  </si>
  <si>
    <t xml:space="preserve">SS-NIG-UN</t>
  </si>
  <si>
    <t xml:space="preserve">Nigiri de Enguia</t>
  </si>
  <si>
    <t xml:space="preserve">Unagi glaceada, doce-salgado, duas peças.</t>
  </si>
  <si>
    <t xml:space="preserve">Arroz de sushi, enguia, molho unagi</t>
  </si>
  <si>
    <t xml:space="preserve">Sujeito a disponibilidade do peixe.</t>
  </si>
  <si>
    <t xml:space="preserve">Unagi glaceada, doce-salgado, duas peças. 2 unidades. Preparação ±6 min. Hashi incluídos no preço.</t>
  </si>
  <si>
    <t xml:space="preserve">SS-HOS-SL</t>
  </si>
  <si>
    <t xml:space="preserve">Hosomaki</t>
  </si>
  <si>
    <t xml:space="preserve">Hosomaki Salmão</t>
  </si>
  <si>
    <t xml:space="preserve">Oito peças de rolo fino. Só salmão e arroz.</t>
  </si>
  <si>
    <t xml:space="preserve">Arroz, nori, salmão fresco</t>
  </si>
  <si>
    <t xml:space="preserve">8 peças.</t>
  </si>
  <si>
    <t xml:space="preserve">Oito peças de rolo fino. Só salmão e arroz. 8 peças. Preparação ±7 min. Hashi incluídos no preço.</t>
  </si>
  <si>
    <t xml:space="preserve">SS-HOS-AT</t>
  </si>
  <si>
    <t xml:space="preserve">Hosomaki Atum</t>
  </si>
  <si>
    <t xml:space="preserve">Rolo fino de atum. Limpo, directo.</t>
  </si>
  <si>
    <t xml:space="preserve">Arroz, nori, atum fresco</t>
  </si>
  <si>
    <t xml:space="preserve">Rolo fino de atum. Limpo, directo. 8 peças. Preparação ±7 min. Hashi incluídos no preço.</t>
  </si>
  <si>
    <t xml:space="preserve">SS-HOS-PP</t>
  </si>
  <si>
    <t xml:space="preserve">Hosomaki Pepino</t>
  </si>
  <si>
    <t xml:space="preserve">Oito peças vegetarianas. Pepino crocante, arroz, nori.</t>
  </si>
  <si>
    <t xml:space="preserve">Arroz, nori, pepino</t>
  </si>
  <si>
    <t xml:space="preserve">Vegetariano.</t>
  </si>
  <si>
    <t xml:space="preserve">Oito peças vegetarianas. Pepino crocante, arroz, nori. 8 peças. Preparação ±6 min. Hashi incluídos no preço.</t>
  </si>
  <si>
    <t xml:space="preserve">SS-HOS-MG</t>
  </si>
  <si>
    <t xml:space="preserve">Hosomaki Manga</t>
  </si>
  <si>
    <t xml:space="preserve">Manga no ponto, rolo fino. Leve e fresco.</t>
  </si>
  <si>
    <t xml:space="preserve">Arroz, nori, manga</t>
  </si>
  <si>
    <t xml:space="preserve">Vegetariano. Sazonal.</t>
  </si>
  <si>
    <t xml:space="preserve">Manga no ponto, rolo fino. Leve e fresco. 8 peças. Preparação ±6 min. Hashi incluídos no preço.</t>
  </si>
  <si>
    <t xml:space="preserve">SS-YAK-EB</t>
  </si>
  <si>
    <t xml:space="preserve">Yakissoba</t>
  </si>
  <si>
    <t xml:space="preserve">Yakissoba de Camarão</t>
  </si>
  <si>
    <t xml:space="preserve">mais pedido</t>
  </si>
  <si>
    <t xml:space="preserve">Macarrão salteado, camarão fresco, legumes da estação. O mais pedido.</t>
  </si>
  <si>
    <t xml:space="preserve">Macarrão, camarão fresco, legumes da estação, molho shoyu</t>
  </si>
  <si>
    <t xml:space="preserve">1 dose.</t>
  </si>
  <si>
    <t xml:space="preserve">Macarrão salteado, camarão fresco, legumes da estação. O mais pedido. Preparação ±14 min. Hashi incluídos no preço.</t>
  </si>
  <si>
    <t xml:space="preserve">SS-YAK-CR</t>
  </si>
  <si>
    <t xml:space="preserve">Yakissoba de Carne</t>
  </si>
  <si>
    <t xml:space="preserve">Carne tenra, legumes, shoyu. Quente e generoso.</t>
  </si>
  <si>
    <t xml:space="preserve">Macarrão, carne bovina, legumes, molho shoyu</t>
  </si>
  <si>
    <t xml:space="preserve">Carne tenra, legumes, shoyu. Quente e generoso. Preparação ±14 min. Hashi incluídos no preço.</t>
  </si>
  <si>
    <t xml:space="preserve">SS-YAK-FR</t>
  </si>
  <si>
    <t xml:space="preserve">Yakissoba de Frango</t>
  </si>
  <si>
    <t xml:space="preserve">Frango grelhado e legumes variados no wok.</t>
  </si>
  <si>
    <t xml:space="preserve">Macarrão, frango grelhado, legumes, molho shoyu</t>
  </si>
  <si>
    <t xml:space="preserve">Frango grelhado e legumes variados no wok. Preparação ±13 min. Hashi incluídos no preço.</t>
  </si>
  <si>
    <t xml:space="preserve">SS-YAK-MX</t>
  </si>
  <si>
    <t xml:space="preserve">Yakissoba Misto 77</t>
  </si>
  <si>
    <t xml:space="preserve">Camarão, carne e frango no mesmo wok. Para quem não quer escolher.</t>
  </si>
  <si>
    <t xml:space="preserve">Macarrão, camarão, carne, frango, legumes, molho shoyu</t>
  </si>
  <si>
    <t xml:space="preserve">1 dose generosa.</t>
  </si>
  <si>
    <t xml:space="preserve">Camarão, carne e frango no mesmo wok. Para quem não quer escolher. Preparação ±15 min. Hashi incluídos no preço.</t>
  </si>
  <si>
    <t xml:space="preserve">SS-MID-SL</t>
  </si>
  <si>
    <t xml:space="preserve">Menu do Meio-Dia</t>
  </si>
  <si>
    <t xml:space="preserve">Executivo Salmão</t>
  </si>
  <si>
    <t xml:space="preserve">8 peças de salmão + yakissoba curto ou miso. Segunda a sexta, 12h–16h.</t>
  </si>
  <si>
    <t xml:space="preserve">Salmão, arroz, nori, yakissoba ou sopa miso</t>
  </si>
  <si>
    <t xml:space="preserve">Apenas 12h–16h, dias úteis. Escolher acompanhamento no pedido.</t>
  </si>
  <si>
    <t xml:space="preserve">8 peças de salmão + yakissoba curto ou miso. Segunda a sexta, 12h–16h. Preparação ±16 min. Hashi incluídos no preço.</t>
  </si>
  <si>
    <t xml:space="preserve">SS-MID-FR</t>
  </si>
  <si>
    <t xml:space="preserve">Executivo Frango</t>
  </si>
  <si>
    <t xml:space="preserve">Hot Fray 8 peças + yakissoba de frango em dose curta. 12h–16h.</t>
  </si>
  <si>
    <t xml:space="preserve">Frango, queijo creme, panko, macarrão, legumes</t>
  </si>
  <si>
    <t xml:space="preserve">Dias úteis, 12h–16h.</t>
  </si>
  <si>
    <t xml:space="preserve">Hot Fray 8 peças + yakissoba de frango em dose curta. 12h–16h. Preparação ±15 min. Hashi incluídos no preço.</t>
  </si>
  <si>
    <t xml:space="preserve">SS-MID-BX</t>
  </si>
  <si>
    <t xml:space="preserve">Box Escritório 2</t>
  </si>
  <si>
    <t xml:space="preserve">Box Escritório para 2</t>
  </si>
  <si>
    <t xml:space="preserve">16 peças mistas + 2 yakissobas curtos. Reunião resolvida.</t>
  </si>
  <si>
    <t xml:space="preserve">Mix salmão/california/hot, dois yakissobas curtos</t>
  </si>
  <si>
    <t xml:space="preserve">2 pessoas. Ideal Talatona / centro.</t>
  </si>
  <si>
    <t xml:space="preserve">16 peças mistas + 2 yakissobas curtos. Reunião resolvida. Preparação ±18 min. Hashi incluídos no preço.</t>
  </si>
  <si>
    <t xml:space="preserve">SS-BEB-AG</t>
  </si>
  <si>
    <t xml:space="preserve">Bebidas e extras</t>
  </si>
  <si>
    <t xml:space="preserve">Água 50cl</t>
  </si>
  <si>
    <t xml:space="preserve">Água de mesa, fria.</t>
  </si>
  <si>
    <t xml:space="preserve">Sem preparação.</t>
  </si>
  <si>
    <t xml:space="preserve">Água de mesa, fria. Hashi incluídos no preço.</t>
  </si>
  <si>
    <t xml:space="preserve">SS-BEB-RF</t>
  </si>
  <si>
    <t xml:space="preserve">Refrigerante lata</t>
  </si>
  <si>
    <t xml:space="preserve">Lata fria. Cola, cola zero ou ginger ale — indicar no pedido.</t>
  </si>
  <si>
    <t xml:space="preserve">Refrigerante lata 33cl</t>
  </si>
  <si>
    <t xml:space="preserve">Sabor à escolha.</t>
  </si>
  <si>
    <t xml:space="preserve">Lata fria. Cola, cola zero ou ginger ale — indicar no pedido. Hashi incluídos no preço.</t>
  </si>
  <si>
    <t xml:space="preserve">SS-BEB-CH</t>
  </si>
  <si>
    <t xml:space="preserve">Chá Verde Gelado</t>
  </si>
  <si>
    <t xml:space="preserve">Sencha frio, limão, sem açúcar a mais.</t>
  </si>
  <si>
    <t xml:space="preserve">Chá verde, limão, gelo</t>
  </si>
  <si>
    <t xml:space="preserve">3 min.</t>
  </si>
  <si>
    <t xml:space="preserve">Sencha frio, limão, sem açúcar a mais. Preparação ±3 min. Hashi incluídos no preço.</t>
  </si>
  <si>
    <t xml:space="preserve">SS-BEB-GJ</t>
  </si>
  <si>
    <t xml:space="preserve">Limonada de Gengibre</t>
  </si>
  <si>
    <t xml:space="preserve">Limão, gengibre fresco, um fio de mel.</t>
  </si>
  <si>
    <t xml:space="preserve">Limão, gengibre, mel, água, gelo</t>
  </si>
  <si>
    <t xml:space="preserve">4 min.</t>
  </si>
  <si>
    <t xml:space="preserve">Limão, gengibre fresco, um fio de mel. Preparação ±4 min. Hashi incluídos no preço.</t>
  </si>
  <si>
    <t xml:space="preserve">SS-BEB-SJ</t>
  </si>
  <si>
    <t xml:space="preserve">Sumo Natural do Dia</t>
  </si>
  <si>
    <t xml:space="preserve">Manga, maracujá ou ananás — conforme a fruta no ponto.</t>
  </si>
  <si>
    <t xml:space="preserve">Fruta da estação</t>
  </si>
  <si>
    <t xml:space="preserve">Indicar preferência.</t>
  </si>
  <si>
    <t xml:space="preserve">Manga, maracujá ou ananás — conforme a fruta no ponto. Preparação ±4 min. Hashi incluídos no preço.</t>
  </si>
  <si>
    <t xml:space="preserve">SS-EXT-XS</t>
  </si>
  <si>
    <t xml:space="preserve">Kit extra shoyu e gari</t>
  </si>
  <si>
    <t xml:space="preserve">Saquetas extra de shoyu, gari e wasabi. O hashi já vai no pedido.</t>
  </si>
  <si>
    <t xml:space="preserve">Shoyu, gari, wasabi</t>
  </si>
  <si>
    <t xml:space="preserve">Hashi já incluído em todos os pratos. Este kit é só extra de molhos.</t>
  </si>
  <si>
    <t xml:space="preserve">Saquetas extra de shoyu, gari e wasabi. O hashi já vai no pedido. Preparação ±1 min. Hashi incluídos no preço.</t>
  </si>
  <si>
    <t xml:space="preserve">SS-DOC-MO</t>
  </si>
  <si>
    <t xml:space="preserve">Doces</t>
  </si>
  <si>
    <t xml:space="preserve">Mochi do Dia</t>
  </si>
  <si>
    <t xml:space="preserve">Dois mochi. Recheio do dia: manga, matcha ou coco.</t>
  </si>
  <si>
    <t xml:space="preserve">Massa mochi, recheio do dia</t>
  </si>
  <si>
    <t xml:space="preserve">2 unidades. Sob reserva do stock.</t>
  </si>
  <si>
    <t xml:space="preserve">Dois mochi. Recheio do dia: manga, matcha ou coco. Hashi incluídos no preço.</t>
  </si>
  <si>
    <t xml:space="preserve">SS-DOC-CZ</t>
  </si>
  <si>
    <t xml:space="preserve">Cheesecake Yuzu</t>
  </si>
  <si>
    <t xml:space="preserve">Fatia fria, cítrica, leve depois do salmão.</t>
  </si>
  <si>
    <t xml:space="preserve">Cream cheese, yuzu, base de bolacha</t>
  </si>
  <si>
    <t xml:space="preserve">1 fatia.</t>
  </si>
  <si>
    <t xml:space="preserve">Fatia fria, cítrica, leve depois do salmão. Hashi incluídos no preço.</t>
  </si>
  <si>
    <t xml:space="preserve">Ordem</t>
  </si>
  <si>
    <t xml:space="preserve">Colecção (criar no WA)</t>
  </si>
  <si>
    <t xml:space="preserve">Nome do item</t>
  </si>
  <si>
    <t xml:space="preserve">Descrição para colar</t>
  </si>
  <si>
    <t xml:space="preserve">Foto — instrução</t>
  </si>
  <si>
    <t xml:space="preserve">Estado</t>
  </si>
  <si>
    <t xml:space="preserve">Quadrado 1080×1080, fundo arroz #F4F0E8 ou nori #231F1C. Um prato, luz natural, sem texto sobre a foto. Selo 77 só no canto se couber com área de protecção.</t>
  </si>
  <si>
    <t xml:space="preserve">A carregar</t>
  </si>
  <si>
    <t xml:space="preserve">COMO CARREGAR NO WHATSAPP BUSINESS  ·  Gestor de catálogo → Adicionar item  ·  Nome = coluna C  ·  Preço = coluna D (moeda AOA / Kz)  ·  Descrição = coluna E (já inclui hashi)  ·  Colecção = coluna B (criar as colecções primeiro)  ·  Foto quadrada. Não uses emoji no nome. Não escrevas o preço na descrição — o WhatsApp já mostra o campo preço. Link do catálogo: três pontos → Partilhar link (formato wa.me/c/244945407841).</t>
  </si>
  <si>
    <t xml:space="preserve">Categoria MANO</t>
  </si>
  <si>
    <t xml:space="preserve">Nome público</t>
  </si>
  <si>
    <t xml:space="preserve">Descrição curta</t>
  </si>
  <si>
    <t xml:space="preserve">Tempo prep (min)</t>
  </si>
  <si>
    <t xml:space="preserve">Disponível</t>
  </si>
  <si>
    <t xml:space="preserve">Canal espelho</t>
  </si>
  <si>
    <t xml:space="preserve">Notas parceiro MANO</t>
  </si>
  <si>
    <t xml:space="preserve">Sim</t>
  </si>
  <si>
    <t xml:space="preserve">WhatsApp + site</t>
  </si>
  <si>
    <t xml:space="preserve">Manter o mesmo SKU e o mesmo preço. Se a MANO cobrar comissão, não inflacionar o preço ao cliente — a margem assume-se na operação, não no cardápio público.</t>
  </si>
  <si>
    <t xml:space="preserve">Nome exacto da colecção</t>
  </si>
  <si>
    <t xml:space="preserve">Frase de capa (bio curta)</t>
  </si>
  <si>
    <t xml:space="preserve">Nº itens</t>
  </si>
  <si>
    <t xml:space="preserve">Ordem no WhatsApp</t>
  </si>
  <si>
    <t xml:space="preserve">O primeiro gesto. Fritos precisos, gyozas, edamame.</t>
  </si>
  <si>
    <t xml:space="preserve">Só salmão. A linha premium da casa.</t>
  </si>
  <si>
    <t xml:space="preserve">Mix do dia. Melhor custo para partilhar.</t>
  </si>
  <si>
    <t xml:space="preserve">77, Ilha, Talatona, Família Domingo.</t>
  </si>
  <si>
    <t xml:space="preserve">Um cone, uma mão, comer já.</t>
  </si>
  <si>
    <t xml:space="preserve">Empanados, quentes, o favorito de Luanda.</t>
  </si>
  <si>
    <t xml:space="preserve">Barcos pequenos, sabor concentrado.</t>
  </si>
  <si>
    <t xml:space="preserve">Rolos invertidos, 8 peças.</t>
  </si>
  <si>
    <t xml:space="preserve">Duas peças. O corte limpo.</t>
  </si>
  <si>
    <t xml:space="preserve">Rolo fino, 8 peças.</t>
  </si>
  <si>
    <t xml:space="preserve">Wok quente. O mais pedido da casa no camarão.</t>
  </si>
  <si>
    <t xml:space="preserve">12h–16h, dias úteis. Escritório e almoço curto.</t>
  </si>
  <si>
    <t xml:space="preserve">Água, chá, sumos. Hashi já vai no prato.</t>
  </si>
  <si>
    <t xml:space="preserve">Mochi e cheesecake yuzu. Fechar a mesa.</t>
  </si>
  <si>
    <t xml:space="preserve">Serviço a adicionar na página</t>
  </si>
  <si>
    <t xml:space="preserve">Descrição curta (campo LinkedIn)</t>
  </si>
  <si>
    <t xml:space="preserve">Público</t>
  </si>
  <si>
    <t xml:space="preserve">Preço de referência</t>
  </si>
  <si>
    <t xml:space="preserve">Delivery de sushi fresco em Luanda</t>
  </si>
  <si>
    <t xml:space="preserve">Peixe do dia, arroz no ponto, entrega 12h–22h. Pedido por WhatsApp ou MANO. Hashi incluídos.</t>
  </si>
  <si>
    <t xml:space="preserve">Particulares e famílias</t>
  </si>
  <si>
    <t xml:space="preserve">A partir de 3.500 Kz</t>
  </si>
  <si>
    <t xml:space="preserve">Combinados para partilhar</t>
  </si>
  <si>
    <t xml:space="preserve">Caixas Ouro, Mesa, 77, Ilha, Talatona e Família Domingo. 16 a 60 peças.</t>
  </si>
  <si>
    <t xml:space="preserve">Casais, grupos, domingo em família</t>
  </si>
  <si>
    <t xml:space="preserve">18.000–85.000 Kz</t>
  </si>
  <si>
    <t xml:space="preserve">Menu executivo de meio-dia</t>
  </si>
  <si>
    <t xml:space="preserve">Almoço curto para escritórios. 12h–16h, segunda a sexta. Box para 1 ou 2 pessoas.</t>
  </si>
  <si>
    <t xml:space="preserve">Empresas, Talatona, centro</t>
  </si>
  <si>
    <t xml:space="preserve">12.500–22.000 Kz</t>
  </si>
  <si>
    <t xml:space="preserve">Catering corporativo Sete Sete</t>
  </si>
  <si>
    <t xml:space="preserve">Reuniões, board lunches, kick-offs. Combinado Talatona e boxes rotuladas com o selo 77.</t>
  </si>
  <si>
    <t xml:space="preserve">Empresas e gabinetes</t>
  </si>
  <si>
    <t xml:space="preserve">Sob consulta · a partir de 22.000 Kz</t>
  </si>
  <si>
    <t xml:space="preserve">Eventos e mesas especiais</t>
  </si>
  <si>
    <t xml:space="preserve">Aniversários, noivados, after-work. Combinado Família e Ouro Chef com horário combinado.</t>
  </si>
  <si>
    <t xml:space="preserve">Particulares e horeca</t>
  </si>
  <si>
    <t xml:space="preserve">Sob consulta</t>
  </si>
  <si>
    <t xml:space="preserve">Parceria MANO Restaurantes</t>
  </si>
  <si>
    <t xml:space="preserve">O mesmo cardápio, o mesmo SKU, a mesma frescura — com a logística MANO em Luanda.</t>
  </si>
  <si>
    <t xml:space="preserve">Clientes MANO</t>
  </si>
  <si>
    <t xml:space="preserve">Preço público igual ao WhatsApp</t>
  </si>
  <si>
    <t xml:space="preserve">Pedidos via WhatsApp Business</t>
  </si>
  <si>
    <t xml:space="preserve">Catálogo nativo, carrinho e confirmação de zona. Sem app extra.</t>
  </si>
  <si>
    <t xml:space="preserve">Toda a cidade</t>
  </si>
  <si>
    <t xml:space="preserve">—</t>
  </si>
  <si>
    <t xml:space="preserve">Box presente 77</t>
  </si>
  <si>
    <t xml:space="preserve">Combinado Ouro ou 77 com sticker e saco da identidade visual. Oferecer sushi com nome.</t>
  </si>
  <si>
    <t xml:space="preserve">Presentes corporativos e pessoais</t>
  </si>
  <si>
    <t xml:space="preserve">A partir de 24.000 Kz</t>
  </si>
  <si>
    <t xml:space="preserve">O que mudou e porquê — mercado de Luanda</t>
  </si>
  <si>
    <t xml:space="preserve">Tema</t>
  </si>
  <si>
    <t xml:space="preserve">Decisão</t>
  </si>
  <si>
    <t xml:space="preserve">Nomes</t>
  </si>
  <si>
    <t xml:space="preserve">Huramaki passou a Uramaki (grafia correcta). Temaki Especial → Temaki Sete Sete. Chitaka → Gunkan Spicy. Combinados Premium/Normal → Ouro e Mesa — lê-se em 1 segundo.</t>
  </si>
  <si>
    <t xml:space="preserve">Preços</t>
  </si>
  <si>
    <t xml:space="preserve">Mantida a banda original. Mesa 26 arredondado a 29.500 e Mesa 45 a 50.000 (preços limpos em Kz). Gunkan Atum sobe de 3.500 para 6.000 — o preço antigo quebrava a percepção de qualidade.</t>
  </si>
  <si>
    <t xml:space="preserve">A confirmar resolvido</t>
  </si>
  <si>
    <t xml:space="preserve">Hot Gasai, Hot Fray, Hot do Chefe, Torrinhas, Gunkan Chitaka/Ebi, Temaki Especial e Uramaki Sete Sete têm agora recheio fechado. Cozinha deixa de improvisar no ticket.</t>
  </si>
  <si>
    <t xml:space="preserve">Angola sem folclore</t>
  </si>
  <si>
    <t xml:space="preserve">Manga, coco, piri-piri doce, camarão e alheira — ingredientes que Luanda já reconhece — dentro de técnica japonesa. Sem dendê no nori, sem forçar funge no maki.</t>
  </si>
  <si>
    <t xml:space="preserve">Partilha</t>
  </si>
  <si>
    <t xml:space="preserve">Cultura de mesa grande: Família Domingo 60 peças e Combinado 77. O sushi em Luanda vende-se melhor para 2+ do que à peça isolada.</t>
  </si>
  <si>
    <t xml:space="preserve">Meio-dia</t>
  </si>
  <si>
    <t xml:space="preserve">Talatona e escritórios pedem almoço previsível. Executivo e Box 2 preenchem 12h–16h, faixa morta do delivery de jantar.</t>
  </si>
  <si>
    <t xml:space="preserve">Em Angola e no Brasil lusófono o hot empanado é o item de conversão. Hot Luanda entra como assinatura local sem abandonar Filadélfia e Spicy Tuna.</t>
  </si>
  <si>
    <t xml:space="preserve">Frase fixa em todas as descrições: «Hashi incluídos no preço.» Remove a micro-fricção «vem com pauzinhos?» e posiciona hospitalidade.</t>
  </si>
  <si>
    <t xml:space="preserve">Bebidas e doce</t>
  </si>
  <si>
    <t xml:space="preserve">Ticket médio sobe com 1 bebida. Mochi e yuzu fecham a refeição sem abrir uma linha de pastelaria.</t>
  </si>
  <si>
    <t xml:space="preserve">Cansaço visual</t>
  </si>
  <si>
    <t xml:space="preserve">14 colecções, ~64 itens. Sem emoji nos nomes. Descrição em 2–3 frases. Foto única, fundo arroz ou nori. O catálogo respira.</t>
  </si>
  <si>
    <t xml:space="preserve">MANO</t>
  </si>
  <si>
    <t xml:space="preserve">SKU estável. Preço público idêntico. A comissão MANO não se reflecte no preço de catálogo — evita-se o cliente a comparar e achar o WhatsApp «mais barato».</t>
  </si>
  <si>
    <t xml:space="preserve">Fotografia</t>
  </si>
  <si>
    <t xml:space="preserve">Prioridade de shooting: Combinado 77, Hot Luanda, Temaki Manga-Piri, Ouro 16, Yakissoba de Camarão, Uramaki Sete Sete. Fundo #F4F0E8.</t>
  </si>
  <si>
    <t xml:space="preserve">Resumo por colecção</t>
  </si>
  <si>
    <t xml:space="preserve">Colecção</t>
  </si>
  <si>
    <t xml:space="preserve">Preço</t>
  </si>
  <si>
    <t xml:space="preserve">Itens</t>
  </si>
  <si>
    <t xml:space="preserve">Ticket médio (Kz)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</si>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</sst>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FFFFFF"/>
      <name val="Arial"/>
      <family val="0"/>
      <charset val="1"/>
    </font>
    <font>
      <sz val="14"/>
      <color rgb="FFFFFFFF"/>
      <name val="Arial"/>
      <family val="0"/>
      <charset val="1"/>
    </font>
    <font>
      <sz val="11"/>
      <color rgb="FFF3D5C6"/>
      <name val="Arial"/>
      <family val="0"/>
      <charset val="1"/>
    </font>
    <font>
      <b val="true"/>
      <sz val="12"/>
      <color rgb="FFE24A17"/>
      <name val="Arial"/>
      <family val="0"/>
      <charset val="1"/>
    </font>
    <font>
      <sz val="10"/>
      <color rgb="FF1A17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A827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B833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231F1C"/>
        <bgColor rgb="FF1A1714"/>
      </patternFill>
    </fill>
    <fill>
      <patternFill patternType="solid">
        <fgColor rgb="FFF4F0E8"/>
        <bgColor rgb="FFFBFAF7"/>
      </patternFill>
    </fill>
    <fill>
      <patternFill patternType="solid">
        <fgColor rgb="FFFBFAF7"/>
        <bgColor rgb="FFFFFFFF"/>
      </patternFill>
    </fill>
    <fill>
      <patternFill patternType="solid">
        <fgColor rgb="FFFFFFFF"/>
        <bgColor rgb="FFFBFAF7"/>
      </patternFill>
    </fill>
    <fill>
      <patternFill patternType="solid">
        <fgColor rgb="FFF8E4D8"/>
        <bgColor rgb="FFF4F0E8"/>
      </patternFill>
    </fill>
    <fill>
      <patternFill patternType="solid">
        <fgColor rgb="FFF3D5C6"/>
        <bgColor rgb="FFF8E4D8"/>
      </patternFill>
    </fill>
    <fill>
      <patternFill patternType="solid">
        <fgColor rgb="FFE24A17"/>
        <bgColor rgb="FFB8331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1C7"/>
      </left>
      <right style="thin">
        <color rgb="FFD9D1C7"/>
      </right>
      <top style="thin">
        <color rgb="FFD9D1C7"/>
      </top>
      <bottom style="thin">
        <color rgb="FFD9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31F1C"/>
          <bgColor rgb="FF000000"/>
        </patternFill>
      </fill>
    </dxf>
    <dxf>
      <fill>
        <patternFill patternType="solid">
          <fgColor rgb="FFF8E4D8"/>
          <bgColor rgb="FF000000"/>
        </patternFill>
      </fill>
    </dxf>
    <dxf>
      <fill>
        <patternFill patternType="solid">
          <fgColor rgb="FFFBFA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714"/>
          <bgColor rgb="FF000000"/>
        </patternFill>
      </fill>
    </dxf>
    <dxf>
      <fill>
        <patternFill patternType="solid">
          <fgColor rgb="FFF3D5C6"/>
          <bgColor rgb="FF000000"/>
        </patternFill>
      </fill>
    </dxf>
    <dxf>
      <fill>
        <patternFill patternType="solid">
          <fgColor rgb="FFE24A1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A8278"/>
      <rgbColor rgb="FF9999FF"/>
      <rgbColor rgb="FF993366"/>
      <rgbColor rgb="FFFBFAF7"/>
      <rgbColor rgb="FFF4F0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1C7"/>
      <rgbColor rgb="FFF8E4D8"/>
      <rgbColor rgb="FF99CCFF"/>
      <rgbColor rgb="FFFF99CC"/>
      <rgbColor rgb="FFCC99FF"/>
      <rgbColor rgb="FFF3D5C6"/>
      <rgbColor rgb="FF3366FF"/>
      <rgbColor rgb="FF33CCCC"/>
      <rgbColor rgb="FF99CC00"/>
      <rgbColor rgb="FFFFCC00"/>
      <rgbColor rgb="FFFF9900"/>
      <rgbColor rgb="FFE24A17"/>
      <rgbColor rgb="FF4F81BD"/>
      <rgbColor rgb="FF969696"/>
      <rgbColor rgb="FF003366"/>
      <rgbColor rgb="FF339966"/>
      <rgbColor rgb="FF003300"/>
      <rgbColor rgb="FF1A1714"/>
      <rgbColor rgb="FFB83310"/>
      <rgbColor rgb="FF993366"/>
      <rgbColor rgb="FF333399"/>
      <rgbColor rgb="FF231F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médio por colecção (Kz)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'Resumo preços'!C2</c:f>
              <c:strCache>
                <c:ptCount val="1"/>
                <c:pt idx="0">
                  <c:v>Ticket médio (Kz)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preços'!$A$3:$A$16</c:f>
              <c:strCache>
                <c:ptCount val="14"/>
                <c:pt idx="0">
                  <c:v>Entradas</c:v>
                </c:pt>
                <c:pt idx="1">
                  <c:v>Combinados Ouro</c:v>
                </c:pt>
                <c:pt idx="2">
                  <c:v>Combinados Mesa</c:v>
                </c:pt>
                <c:pt idx="3">
                  <c:v>Assinatura Luanda</c:v>
                </c:pt>
                <c:pt idx="4">
                  <c:v>Temakis</c:v>
                </c:pt>
                <c:pt idx="5">
                  <c:v>Hots</c:v>
                </c:pt>
                <c:pt idx="6">
                  <c:v>Gunkan</c:v>
                </c:pt>
                <c:pt idx="7">
                  <c:v>Uramaki</c:v>
                </c:pt>
                <c:pt idx="8">
                  <c:v>Nigiri</c:v>
                </c:pt>
                <c:pt idx="9">
                  <c:v>Hosomaki</c:v>
                </c:pt>
                <c:pt idx="10">
                  <c:v>Yakissoba</c:v>
                </c:pt>
                <c:pt idx="11">
                  <c:v>Menu do Meio-Dia</c:v>
                </c:pt>
                <c:pt idx="12">
                  <c:v>Bebidas e extras</c:v>
                </c:pt>
                <c:pt idx="13">
                  <c:v>Doces</c:v>
                </c:pt>
              </c:strCache>
            </c:strRef>
          </c:cat>
          <c:val>
            <c:numRef>
              <c:f>'Resumo preços'!$C$3:$C$16</c:f>
              <c:numCache>
                <c:formatCode>#,##0</c:formatCode>
                <c:ptCount val="14"/>
                <c:pt idx="0">
                  <c:v>5471</c:v>
                </c:pt>
                <c:pt idx="1">
                  <c:v>44625</c:v>
                </c:pt>
                <c:pt idx="2">
                  <c:v>33375</c:v>
                </c:pt>
                <c:pt idx="3">
                  <c:v>49750</c:v>
                </c:pt>
                <c:pt idx="4">
                  <c:v>5160</c:v>
                </c:pt>
                <c:pt idx="5">
                  <c:v>10833</c:v>
                </c:pt>
                <c:pt idx="6">
                  <c:v>7400</c:v>
                </c:pt>
                <c:pt idx="7">
                  <c:v>10886</c:v>
                </c:pt>
                <c:pt idx="8">
                  <c:v>3950</c:v>
                </c:pt>
                <c:pt idx="9">
                  <c:v>5700</c:v>
                </c:pt>
                <c:pt idx="10">
                  <c:v>9750</c:v>
                </c:pt>
                <c:pt idx="11">
                  <c:v>16333</c:v>
                </c:pt>
                <c:pt idx="12">
                  <c:v>1717</c:v>
                </c:pt>
                <c:pt idx="13">
                  <c:v>4750</c:v>
                </c:pt>
              </c:numCache>
            </c:numRef>
          </c:val>
        </c:ser>
        <c:gapWidth val="150"/>
        <c:overlap val="0"/>
        <c:axId val="41464597"/>
        <c:axId val="78979281"/>
      </c:barChart>
      <c:catAx>
        <c:axId val="41464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79281"/>
        <c:crosses val="autoZero"/>
        <c:auto val="1"/>
        <c:lblAlgn val="ctr"/>
        <c:lblOffset val="100"/>
        <c:noMultiLvlLbl val="0"/>
      </c:catAx>
      <c:valAx>
        <c:axId val="789792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64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9</xdr:col>
      <xdr:colOff>227520</xdr:colOff>
      <xdr:row>36</xdr:row>
      <xdr:rowOff>22320</xdr:rowOff>
    </xdr:to>
    <xdr:graphicFrame>
      <xdr:nvGraphicFramePr>
        <xdr:cNvPr id="0" name="Chart 1"/>
        <xdr:cNvGraphicFramePr/>
      </xdr:nvGraphicFramePr>
      <xdr:xfrm>
        <a:off x="0" y="4133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22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</row>
    <row r="3" customFormat="false" ht="19.5" hidden="false" customHeight="true" outlineLevel="0" collapsed="false">
      <c r="A3" s="4" t="s">
        <v>2</v>
      </c>
      <c r="B3" s="4"/>
      <c r="C3" s="4"/>
      <c r="D3" s="4"/>
      <c r="E3" s="4"/>
      <c r="F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15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15" hidden="false" customHeight="true" outlineLevel="0" collapsed="false">
      <c r="A7" s="6" t="s">
        <v>5</v>
      </c>
      <c r="B7" s="6"/>
      <c r="C7" s="6"/>
      <c r="D7" s="6"/>
      <c r="E7" s="6"/>
      <c r="F7" s="6"/>
    </row>
    <row r="8" customFormat="false" ht="15" hidden="false" customHeight="true" outlineLevel="0" collapsed="false">
      <c r="A8" s="6" t="s">
        <v>6</v>
      </c>
      <c r="B8" s="6"/>
      <c r="C8" s="6"/>
      <c r="D8" s="6"/>
      <c r="E8" s="6"/>
      <c r="F8" s="6"/>
    </row>
    <row r="9" customFormat="false" ht="15" hidden="false" customHeight="true" outlineLevel="0" collapsed="false">
      <c r="A9" s="6" t="s">
        <v>7</v>
      </c>
      <c r="B9" s="6"/>
      <c r="C9" s="6"/>
      <c r="D9" s="6"/>
      <c r="E9" s="6"/>
      <c r="F9" s="6"/>
    </row>
    <row r="10" customFormat="false" ht="15" hidden="false" customHeight="true" outlineLevel="0" collapsed="false">
      <c r="A10" s="6" t="s">
        <v>8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6" t="s">
        <v>9</v>
      </c>
      <c r="B11" s="6"/>
      <c r="C11" s="6"/>
      <c r="D11" s="6"/>
      <c r="E11" s="6"/>
      <c r="F11" s="6"/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true" outlineLevel="0" collapsed="false">
      <c r="A14" s="6" t="s">
        <v>11</v>
      </c>
      <c r="B14" s="6"/>
      <c r="C14" s="6"/>
      <c r="D14" s="6"/>
      <c r="E14" s="6"/>
      <c r="F14" s="6"/>
    </row>
    <row r="15" customFormat="false" ht="15" hidden="false" customHeight="true" outlineLevel="0" collapsed="false">
      <c r="A15" s="6" t="s">
        <v>12</v>
      </c>
      <c r="B15" s="6"/>
      <c r="C15" s="6"/>
      <c r="D15" s="6"/>
      <c r="E15" s="6"/>
      <c r="F15" s="6"/>
    </row>
    <row r="16" customFormat="false" ht="15" hidden="false" customHeight="true" outlineLevel="0" collapsed="false">
      <c r="A16" s="6" t="s">
        <v>13</v>
      </c>
      <c r="B16" s="6"/>
      <c r="C16" s="6"/>
      <c r="D16" s="6"/>
      <c r="E16" s="6"/>
      <c r="F16" s="6"/>
    </row>
    <row r="18" customFormat="false" ht="15" hidden="false" customHeight="true" outlineLevel="0" collapsed="false">
      <c r="A18" s="5" t="s">
        <v>14</v>
      </c>
      <c r="B18" s="5"/>
      <c r="C18" s="5"/>
      <c r="D18" s="5"/>
      <c r="E18" s="5"/>
      <c r="F18" s="5"/>
    </row>
    <row r="19" customFormat="false" ht="15" hidden="false" customHeight="true" outlineLevel="0" collapsed="false">
      <c r="A19" s="6" t="s">
        <v>15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6" t="s">
        <v>16</v>
      </c>
      <c r="B20" s="6"/>
      <c r="C20" s="6"/>
      <c r="D20" s="6"/>
      <c r="E20" s="6"/>
      <c r="F20" s="6"/>
    </row>
    <row r="21" customFormat="false" ht="15" hidden="false" customHeight="true" outlineLevel="0" collapsed="false">
      <c r="A21" s="6" t="s">
        <v>17</v>
      </c>
      <c r="B21" s="6"/>
      <c r="C21" s="6"/>
      <c r="D21" s="6"/>
      <c r="E21" s="6"/>
      <c r="F21" s="6"/>
    </row>
  </sheetData>
  <mergeCells count="18">
    <mergeCell ref="A1:F1"/>
    <mergeCell ref="A2:F2"/>
    <mergeCell ref="A3:F3"/>
    <mergeCell ref="A5:F5"/>
    <mergeCell ref="A6:F6"/>
    <mergeCell ref="A7:F7"/>
    <mergeCell ref="A8:F8"/>
    <mergeCell ref="A9:F9"/>
    <mergeCell ref="A10:F10"/>
    <mergeCell ref="A11:F11"/>
    <mergeCell ref="A13:F13"/>
    <mergeCell ref="A14:F14"/>
    <mergeCell ref="A15:F15"/>
    <mergeCell ref="A16:F16"/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0"/>
    <col collapsed="false" customWidth="true" hidden="false" outlineLevel="0" max="4" min="4" style="1" width="28"/>
    <col collapsed="false" customWidth="true" hidden="false" outlineLevel="0" max="5" min="5" style="1" width="3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46"/>
    <col collapsed="false" customWidth="true" hidden="false" outlineLevel="0" max="12" min="12" style="1" width="44"/>
    <col collapsed="false" customWidth="true" hidden="false" outlineLevel="0" max="13" min="13" style="1" width="40"/>
    <col collapsed="false" customWidth="true" hidden="false" outlineLevel="0" max="14" min="14" style="1" width="52"/>
    <col collapsed="false" customWidth="true" hidden="false" outlineLevel="0" max="15" min="15" style="1" width="28"/>
  </cols>
  <sheetData>
    <row r="1" customFormat="false" ht="27.75" hidden="false" customHeight="true" outlineLevel="0" collapsed="false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</row>
    <row r="2" customFormat="false" ht="48" hidden="false" customHeight="true" outlineLevel="0" collapsed="false">
      <c r="A2" s="8" t="s">
        <v>33</v>
      </c>
      <c r="B2" s="8" t="s">
        <v>34</v>
      </c>
      <c r="C2" s="8" t="s">
        <v>34</v>
      </c>
      <c r="D2" s="9" t="s">
        <v>35</v>
      </c>
      <c r="E2" s="9" t="s">
        <v>35</v>
      </c>
      <c r="F2" s="10" t="n">
        <v>6</v>
      </c>
      <c r="G2" s="11" t="n">
        <v>7800</v>
      </c>
      <c r="H2" s="10" t="n">
        <v>9</v>
      </c>
      <c r="I2" s="8" t="s">
        <v>36</v>
      </c>
      <c r="J2" s="8" t="s">
        <v>37</v>
      </c>
      <c r="K2" s="9" t="s">
        <v>38</v>
      </c>
      <c r="L2" s="9" t="s">
        <v>39</v>
      </c>
      <c r="M2" s="9" t="s">
        <v>40</v>
      </c>
      <c r="N2" s="9" t="s">
        <v>41</v>
      </c>
      <c r="O2" s="8" t="s">
        <v>42</v>
      </c>
    </row>
    <row r="3" customFormat="false" ht="48" hidden="false" customHeight="true" outlineLevel="0" collapsed="false">
      <c r="A3" s="12" t="s">
        <v>43</v>
      </c>
      <c r="B3" s="12" t="s">
        <v>34</v>
      </c>
      <c r="C3" s="12" t="s">
        <v>34</v>
      </c>
      <c r="D3" s="13" t="s">
        <v>44</v>
      </c>
      <c r="E3" s="13" t="s">
        <v>44</v>
      </c>
      <c r="F3" s="14" t="n">
        <v>4</v>
      </c>
      <c r="G3" s="15" t="n">
        <v>5500</v>
      </c>
      <c r="H3" s="14" t="n">
        <v>9</v>
      </c>
      <c r="I3" s="12" t="s">
        <v>36</v>
      </c>
      <c r="J3" s="12" t="s">
        <v>37</v>
      </c>
      <c r="K3" s="13" t="s">
        <v>45</v>
      </c>
      <c r="L3" s="13" t="s">
        <v>46</v>
      </c>
      <c r="M3" s="13" t="s">
        <v>47</v>
      </c>
      <c r="N3" s="13" t="s">
        <v>48</v>
      </c>
      <c r="O3" s="12" t="s">
        <v>42</v>
      </c>
    </row>
    <row r="4" customFormat="false" ht="48" hidden="false" customHeight="true" outlineLevel="0" collapsed="false">
      <c r="A4" s="8" t="s">
        <v>49</v>
      </c>
      <c r="B4" s="8" t="s">
        <v>34</v>
      </c>
      <c r="C4" s="8" t="s">
        <v>34</v>
      </c>
      <c r="D4" s="9" t="s">
        <v>50</v>
      </c>
      <c r="E4" s="9" t="s">
        <v>50</v>
      </c>
      <c r="F4" s="10" t="n">
        <v>3</v>
      </c>
      <c r="G4" s="11" t="n">
        <v>4500</v>
      </c>
      <c r="H4" s="10" t="n">
        <v>10</v>
      </c>
      <c r="I4" s="8" t="s">
        <v>36</v>
      </c>
      <c r="J4" s="8" t="s">
        <v>37</v>
      </c>
      <c r="K4" s="9" t="s">
        <v>51</v>
      </c>
      <c r="L4" s="9" t="s">
        <v>52</v>
      </c>
      <c r="M4" s="9" t="s">
        <v>53</v>
      </c>
      <c r="N4" s="9" t="s">
        <v>54</v>
      </c>
      <c r="O4" s="8" t="s">
        <v>42</v>
      </c>
    </row>
    <row r="5" customFormat="false" ht="48" hidden="false" customHeight="true" outlineLevel="0" collapsed="false">
      <c r="A5" s="12" t="s">
        <v>55</v>
      </c>
      <c r="B5" s="12" t="s">
        <v>34</v>
      </c>
      <c r="C5" s="12" t="s">
        <v>34</v>
      </c>
      <c r="D5" s="13" t="s">
        <v>56</v>
      </c>
      <c r="E5" s="13" t="s">
        <v>56</v>
      </c>
      <c r="F5" s="14" t="n">
        <v>3</v>
      </c>
      <c r="G5" s="15" t="n">
        <v>4500</v>
      </c>
      <c r="H5" s="14" t="n">
        <v>10</v>
      </c>
      <c r="I5" s="12" t="s">
        <v>36</v>
      </c>
      <c r="J5" s="12" t="s">
        <v>37</v>
      </c>
      <c r="K5" s="13" t="s">
        <v>57</v>
      </c>
      <c r="L5" s="13" t="s">
        <v>58</v>
      </c>
      <c r="M5" s="13" t="s">
        <v>59</v>
      </c>
      <c r="N5" s="13" t="s">
        <v>60</v>
      </c>
      <c r="O5" s="12" t="s">
        <v>42</v>
      </c>
    </row>
    <row r="6" customFormat="false" ht="48" hidden="false" customHeight="true" outlineLevel="0" collapsed="false">
      <c r="A6" s="8" t="s">
        <v>61</v>
      </c>
      <c r="B6" s="8" t="s">
        <v>34</v>
      </c>
      <c r="C6" s="8" t="s">
        <v>34</v>
      </c>
      <c r="D6" s="9" t="s">
        <v>62</v>
      </c>
      <c r="E6" s="9" t="s">
        <v>62</v>
      </c>
      <c r="F6" s="10" t="n">
        <v>4</v>
      </c>
      <c r="G6" s="11" t="n">
        <v>6000</v>
      </c>
      <c r="H6" s="10" t="n">
        <v>15</v>
      </c>
      <c r="I6" s="8" t="s">
        <v>63</v>
      </c>
      <c r="J6" s="8" t="s">
        <v>37</v>
      </c>
      <c r="K6" s="9" t="s">
        <v>64</v>
      </c>
      <c r="L6" s="9" t="s">
        <v>65</v>
      </c>
      <c r="M6" s="9" t="s">
        <v>66</v>
      </c>
      <c r="N6" s="9" t="s">
        <v>67</v>
      </c>
      <c r="O6" s="8" t="s">
        <v>42</v>
      </c>
    </row>
    <row r="7" customFormat="false" ht="48" hidden="false" customHeight="true" outlineLevel="0" collapsed="false">
      <c r="A7" s="16" t="s">
        <v>68</v>
      </c>
      <c r="B7" s="16" t="s">
        <v>34</v>
      </c>
      <c r="C7" s="16" t="s">
        <v>34</v>
      </c>
      <c r="D7" s="17" t="s">
        <v>69</v>
      </c>
      <c r="E7" s="17" t="s">
        <v>69</v>
      </c>
      <c r="F7" s="18" t="n">
        <v>1</v>
      </c>
      <c r="G7" s="19" t="n">
        <v>3500</v>
      </c>
      <c r="H7" s="18" t="n">
        <v>6</v>
      </c>
      <c r="I7" s="16" t="s">
        <v>70</v>
      </c>
      <c r="J7" s="16" t="s">
        <v>70</v>
      </c>
      <c r="K7" s="17" t="s">
        <v>71</v>
      </c>
      <c r="L7" s="17" t="s">
        <v>72</v>
      </c>
      <c r="M7" s="17" t="s">
        <v>73</v>
      </c>
      <c r="N7" s="17" t="s">
        <v>74</v>
      </c>
      <c r="O7" s="16" t="s">
        <v>42</v>
      </c>
    </row>
    <row r="8" customFormat="false" ht="48" hidden="false" customHeight="true" outlineLevel="0" collapsed="false">
      <c r="A8" s="16" t="s">
        <v>75</v>
      </c>
      <c r="B8" s="16" t="s">
        <v>34</v>
      </c>
      <c r="C8" s="16" t="s">
        <v>34</v>
      </c>
      <c r="D8" s="17" t="s">
        <v>76</v>
      </c>
      <c r="E8" s="17" t="s">
        <v>76</v>
      </c>
      <c r="F8" s="18" t="n">
        <v>5</v>
      </c>
      <c r="G8" s="19" t="n">
        <v>6500</v>
      </c>
      <c r="H8" s="18" t="n">
        <v>12</v>
      </c>
      <c r="I8" s="16" t="s">
        <v>70</v>
      </c>
      <c r="J8" s="16" t="s">
        <v>70</v>
      </c>
      <c r="K8" s="17" t="s">
        <v>77</v>
      </c>
      <c r="L8" s="17" t="s">
        <v>78</v>
      </c>
      <c r="M8" s="17" t="s">
        <v>79</v>
      </c>
      <c r="N8" s="17" t="s">
        <v>80</v>
      </c>
      <c r="O8" s="16" t="s">
        <v>42</v>
      </c>
    </row>
    <row r="9" customFormat="false" ht="48" hidden="false" customHeight="true" outlineLevel="0" collapsed="false">
      <c r="A9" s="12" t="s">
        <v>81</v>
      </c>
      <c r="B9" s="12" t="s">
        <v>82</v>
      </c>
      <c r="C9" s="12" t="s">
        <v>82</v>
      </c>
      <c r="D9" s="13" t="s">
        <v>83</v>
      </c>
      <c r="E9" s="13" t="s">
        <v>84</v>
      </c>
      <c r="F9" s="14" t="n">
        <v>16</v>
      </c>
      <c r="G9" s="15" t="n">
        <v>24000</v>
      </c>
      <c r="H9" s="14" t="n">
        <v>15</v>
      </c>
      <c r="I9" s="12" t="s">
        <v>85</v>
      </c>
      <c r="J9" s="12" t="s">
        <v>37</v>
      </c>
      <c r="K9" s="13" t="s">
        <v>86</v>
      </c>
      <c r="L9" s="13" t="s">
        <v>87</v>
      </c>
      <c r="M9" s="13" t="s">
        <v>88</v>
      </c>
      <c r="N9" s="13" t="s">
        <v>89</v>
      </c>
      <c r="O9" s="12" t="s">
        <v>42</v>
      </c>
    </row>
    <row r="10" customFormat="false" ht="48" hidden="false" customHeight="true" outlineLevel="0" collapsed="false">
      <c r="A10" s="8" t="s">
        <v>90</v>
      </c>
      <c r="B10" s="8" t="s">
        <v>82</v>
      </c>
      <c r="C10" s="8" t="s">
        <v>82</v>
      </c>
      <c r="D10" s="9" t="s">
        <v>91</v>
      </c>
      <c r="E10" s="9" t="s">
        <v>92</v>
      </c>
      <c r="F10" s="10" t="n">
        <v>26</v>
      </c>
      <c r="G10" s="11" t="n">
        <v>39000</v>
      </c>
      <c r="H10" s="10" t="n">
        <v>20</v>
      </c>
      <c r="I10" s="8" t="s">
        <v>85</v>
      </c>
      <c r="J10" s="8" t="s">
        <v>37</v>
      </c>
      <c r="K10" s="9" t="s">
        <v>93</v>
      </c>
      <c r="L10" s="9" t="s">
        <v>87</v>
      </c>
      <c r="M10" s="9" t="s">
        <v>94</v>
      </c>
      <c r="N10" s="9" t="s">
        <v>95</v>
      </c>
      <c r="O10" s="8" t="s">
        <v>42</v>
      </c>
    </row>
    <row r="11" customFormat="false" ht="48" hidden="false" customHeight="true" outlineLevel="0" collapsed="false">
      <c r="A11" s="12" t="s">
        <v>96</v>
      </c>
      <c r="B11" s="12" t="s">
        <v>82</v>
      </c>
      <c r="C11" s="12" t="s">
        <v>82</v>
      </c>
      <c r="D11" s="13" t="s">
        <v>97</v>
      </c>
      <c r="E11" s="13" t="s">
        <v>98</v>
      </c>
      <c r="F11" s="14" t="n">
        <v>32</v>
      </c>
      <c r="G11" s="15" t="n">
        <v>48000</v>
      </c>
      <c r="H11" s="14" t="n">
        <v>25</v>
      </c>
      <c r="I11" s="12" t="s">
        <v>85</v>
      </c>
      <c r="J11" s="12" t="s">
        <v>37</v>
      </c>
      <c r="K11" s="13" t="s">
        <v>99</v>
      </c>
      <c r="L11" s="13" t="s">
        <v>100</v>
      </c>
      <c r="M11" s="13" t="s">
        <v>101</v>
      </c>
      <c r="N11" s="13" t="s">
        <v>102</v>
      </c>
      <c r="O11" s="12" t="s">
        <v>42</v>
      </c>
    </row>
    <row r="12" customFormat="false" ht="48" hidden="false" customHeight="true" outlineLevel="0" collapsed="false">
      <c r="A12" s="8" t="s">
        <v>103</v>
      </c>
      <c r="B12" s="8" t="s">
        <v>82</v>
      </c>
      <c r="C12" s="8" t="s">
        <v>82</v>
      </c>
      <c r="D12" s="9" t="s">
        <v>104</v>
      </c>
      <c r="E12" s="9" t="s">
        <v>105</v>
      </c>
      <c r="F12" s="10" t="n">
        <v>45</v>
      </c>
      <c r="G12" s="11" t="n">
        <v>67500</v>
      </c>
      <c r="H12" s="10" t="n">
        <v>35</v>
      </c>
      <c r="I12" s="20" t="s">
        <v>106</v>
      </c>
      <c r="J12" s="8" t="s">
        <v>37</v>
      </c>
      <c r="K12" s="9" t="s">
        <v>107</v>
      </c>
      <c r="L12" s="9" t="s">
        <v>108</v>
      </c>
      <c r="M12" s="9" t="s">
        <v>109</v>
      </c>
      <c r="N12" s="9" t="s">
        <v>110</v>
      </c>
      <c r="O12" s="8" t="s">
        <v>42</v>
      </c>
    </row>
    <row r="13" customFormat="false" ht="48" hidden="false" customHeight="true" outlineLevel="0" collapsed="false">
      <c r="A13" s="12" t="s">
        <v>111</v>
      </c>
      <c r="B13" s="12" t="s">
        <v>112</v>
      </c>
      <c r="C13" s="12" t="s">
        <v>112</v>
      </c>
      <c r="D13" s="13" t="s">
        <v>113</v>
      </c>
      <c r="E13" s="13" t="s">
        <v>114</v>
      </c>
      <c r="F13" s="14" t="n">
        <v>16</v>
      </c>
      <c r="G13" s="15" t="n">
        <v>18000</v>
      </c>
      <c r="H13" s="14" t="n">
        <v>15</v>
      </c>
      <c r="I13" s="12" t="s">
        <v>36</v>
      </c>
      <c r="J13" s="12" t="s">
        <v>37</v>
      </c>
      <c r="K13" s="13" t="s">
        <v>115</v>
      </c>
      <c r="L13" s="13" t="s">
        <v>116</v>
      </c>
      <c r="M13" s="13" t="s">
        <v>117</v>
      </c>
      <c r="N13" s="13" t="s">
        <v>118</v>
      </c>
      <c r="O13" s="12" t="s">
        <v>42</v>
      </c>
    </row>
    <row r="14" customFormat="false" ht="48" hidden="false" customHeight="true" outlineLevel="0" collapsed="false">
      <c r="A14" s="8" t="s">
        <v>119</v>
      </c>
      <c r="B14" s="8" t="s">
        <v>112</v>
      </c>
      <c r="C14" s="8" t="s">
        <v>112</v>
      </c>
      <c r="D14" s="9" t="s">
        <v>120</v>
      </c>
      <c r="E14" s="9" t="s">
        <v>121</v>
      </c>
      <c r="F14" s="10" t="n">
        <v>26</v>
      </c>
      <c r="G14" s="11" t="n">
        <v>29500</v>
      </c>
      <c r="H14" s="10" t="n">
        <v>20</v>
      </c>
      <c r="I14" s="8" t="s">
        <v>36</v>
      </c>
      <c r="J14" s="8" t="s">
        <v>37</v>
      </c>
      <c r="K14" s="9" t="s">
        <v>122</v>
      </c>
      <c r="L14" s="9" t="s">
        <v>116</v>
      </c>
      <c r="M14" s="9" t="s">
        <v>123</v>
      </c>
      <c r="N14" s="9" t="s">
        <v>124</v>
      </c>
      <c r="O14" s="8" t="s">
        <v>42</v>
      </c>
    </row>
    <row r="15" customFormat="false" ht="48" hidden="false" customHeight="true" outlineLevel="0" collapsed="false">
      <c r="A15" s="12" t="s">
        <v>125</v>
      </c>
      <c r="B15" s="12" t="s">
        <v>112</v>
      </c>
      <c r="C15" s="12" t="s">
        <v>112</v>
      </c>
      <c r="D15" s="13" t="s">
        <v>126</v>
      </c>
      <c r="E15" s="13" t="s">
        <v>127</v>
      </c>
      <c r="F15" s="14" t="n">
        <v>32</v>
      </c>
      <c r="G15" s="15" t="n">
        <v>36000</v>
      </c>
      <c r="H15" s="14" t="n">
        <v>25</v>
      </c>
      <c r="I15" s="12" t="s">
        <v>36</v>
      </c>
      <c r="J15" s="12" t="s">
        <v>37</v>
      </c>
      <c r="K15" s="13" t="s">
        <v>128</v>
      </c>
      <c r="L15" s="13" t="s">
        <v>116</v>
      </c>
      <c r="M15" s="13" t="s">
        <v>101</v>
      </c>
      <c r="N15" s="13" t="s">
        <v>129</v>
      </c>
      <c r="O15" s="12" t="s">
        <v>42</v>
      </c>
    </row>
    <row r="16" customFormat="false" ht="48" hidden="false" customHeight="true" outlineLevel="0" collapsed="false">
      <c r="A16" s="8" t="s">
        <v>130</v>
      </c>
      <c r="B16" s="8" t="s">
        <v>112</v>
      </c>
      <c r="C16" s="8" t="s">
        <v>112</v>
      </c>
      <c r="D16" s="9" t="s">
        <v>131</v>
      </c>
      <c r="E16" s="9" t="s">
        <v>132</v>
      </c>
      <c r="F16" s="10" t="n">
        <v>45</v>
      </c>
      <c r="G16" s="11" t="n">
        <v>50000</v>
      </c>
      <c r="H16" s="10" t="n">
        <v>35</v>
      </c>
      <c r="I16" s="8" t="s">
        <v>36</v>
      </c>
      <c r="J16" s="8" t="s">
        <v>37</v>
      </c>
      <c r="K16" s="9" t="s">
        <v>133</v>
      </c>
      <c r="L16" s="9" t="s">
        <v>116</v>
      </c>
      <c r="M16" s="9" t="s">
        <v>134</v>
      </c>
      <c r="N16" s="9" t="s">
        <v>135</v>
      </c>
      <c r="O16" s="8" t="s">
        <v>42</v>
      </c>
    </row>
    <row r="17" customFormat="false" ht="48" hidden="false" customHeight="true" outlineLevel="0" collapsed="false">
      <c r="A17" s="16" t="s">
        <v>136</v>
      </c>
      <c r="B17" s="16" t="s">
        <v>137</v>
      </c>
      <c r="C17" s="16" t="s">
        <v>137</v>
      </c>
      <c r="D17" s="17" t="s">
        <v>138</v>
      </c>
      <c r="E17" s="17" t="s">
        <v>139</v>
      </c>
      <c r="F17" s="18" t="n">
        <v>24</v>
      </c>
      <c r="G17" s="19" t="n">
        <v>42000</v>
      </c>
      <c r="H17" s="18" t="n">
        <v>22</v>
      </c>
      <c r="I17" s="20" t="s">
        <v>106</v>
      </c>
      <c r="J17" s="16" t="s">
        <v>70</v>
      </c>
      <c r="K17" s="17" t="s">
        <v>140</v>
      </c>
      <c r="L17" s="17" t="s">
        <v>141</v>
      </c>
      <c r="M17" s="17" t="s">
        <v>142</v>
      </c>
      <c r="N17" s="17" t="s">
        <v>143</v>
      </c>
      <c r="O17" s="16" t="s">
        <v>42</v>
      </c>
    </row>
    <row r="18" customFormat="false" ht="48" hidden="false" customHeight="true" outlineLevel="0" collapsed="false">
      <c r="A18" s="16" t="s">
        <v>144</v>
      </c>
      <c r="B18" s="16" t="s">
        <v>137</v>
      </c>
      <c r="C18" s="16" t="s">
        <v>137</v>
      </c>
      <c r="D18" s="17" t="s">
        <v>145</v>
      </c>
      <c r="E18" s="17" t="s">
        <v>146</v>
      </c>
      <c r="F18" s="18" t="n">
        <v>20</v>
      </c>
      <c r="G18" s="19" t="n">
        <v>28000</v>
      </c>
      <c r="H18" s="18" t="n">
        <v>18</v>
      </c>
      <c r="I18" s="16" t="s">
        <v>70</v>
      </c>
      <c r="J18" s="16" t="s">
        <v>70</v>
      </c>
      <c r="K18" s="17" t="s">
        <v>147</v>
      </c>
      <c r="L18" s="17" t="s">
        <v>148</v>
      </c>
      <c r="M18" s="17" t="s">
        <v>149</v>
      </c>
      <c r="N18" s="17" t="s">
        <v>150</v>
      </c>
      <c r="O18" s="16" t="s">
        <v>42</v>
      </c>
    </row>
    <row r="19" customFormat="false" ht="48" hidden="false" customHeight="true" outlineLevel="0" collapsed="false">
      <c r="A19" s="16" t="s">
        <v>151</v>
      </c>
      <c r="B19" s="16" t="s">
        <v>137</v>
      </c>
      <c r="C19" s="16" t="s">
        <v>137</v>
      </c>
      <c r="D19" s="17" t="s">
        <v>152</v>
      </c>
      <c r="E19" s="17" t="s">
        <v>153</v>
      </c>
      <c r="F19" s="18" t="n">
        <v>30</v>
      </c>
      <c r="G19" s="19" t="n">
        <v>44000</v>
      </c>
      <c r="H19" s="18" t="n">
        <v>24</v>
      </c>
      <c r="I19" s="16" t="s">
        <v>70</v>
      </c>
      <c r="J19" s="16" t="s">
        <v>70</v>
      </c>
      <c r="K19" s="17" t="s">
        <v>154</v>
      </c>
      <c r="L19" s="17" t="s">
        <v>155</v>
      </c>
      <c r="M19" s="17" t="s">
        <v>156</v>
      </c>
      <c r="N19" s="17" t="s">
        <v>157</v>
      </c>
      <c r="O19" s="16" t="s">
        <v>42</v>
      </c>
    </row>
    <row r="20" customFormat="false" ht="48" hidden="false" customHeight="true" outlineLevel="0" collapsed="false">
      <c r="A20" s="16" t="s">
        <v>158</v>
      </c>
      <c r="B20" s="16" t="s">
        <v>137</v>
      </c>
      <c r="C20" s="16" t="s">
        <v>137</v>
      </c>
      <c r="D20" s="17" t="s">
        <v>159</v>
      </c>
      <c r="E20" s="17" t="s">
        <v>160</v>
      </c>
      <c r="F20" s="18" t="n">
        <v>60</v>
      </c>
      <c r="G20" s="19" t="n">
        <v>85000</v>
      </c>
      <c r="H20" s="18" t="n">
        <v>45</v>
      </c>
      <c r="I20" s="16" t="s">
        <v>70</v>
      </c>
      <c r="J20" s="16" t="s">
        <v>70</v>
      </c>
      <c r="K20" s="17" t="s">
        <v>161</v>
      </c>
      <c r="L20" s="17" t="s">
        <v>162</v>
      </c>
      <c r="M20" s="17" t="s">
        <v>163</v>
      </c>
      <c r="N20" s="17" t="s">
        <v>164</v>
      </c>
      <c r="O20" s="16" t="s">
        <v>42</v>
      </c>
    </row>
    <row r="21" customFormat="false" ht="48" hidden="false" customHeight="true" outlineLevel="0" collapsed="false">
      <c r="A21" s="12" t="s">
        <v>165</v>
      </c>
      <c r="B21" s="12" t="s">
        <v>166</v>
      </c>
      <c r="C21" s="12" t="s">
        <v>166</v>
      </c>
      <c r="D21" s="13" t="s">
        <v>167</v>
      </c>
      <c r="E21" s="13" t="s">
        <v>167</v>
      </c>
      <c r="F21" s="14" t="n">
        <v>1</v>
      </c>
      <c r="G21" s="15" t="n">
        <v>4500</v>
      </c>
      <c r="H21" s="14" t="n">
        <v>6</v>
      </c>
      <c r="I21" s="12" t="s">
        <v>36</v>
      </c>
      <c r="J21" s="12" t="s">
        <v>37</v>
      </c>
      <c r="K21" s="13" t="s">
        <v>168</v>
      </c>
      <c r="L21" s="13" t="s">
        <v>169</v>
      </c>
      <c r="M21" s="13" t="s">
        <v>170</v>
      </c>
      <c r="N21" s="13" t="s">
        <v>171</v>
      </c>
      <c r="O21" s="12" t="s">
        <v>42</v>
      </c>
    </row>
    <row r="22" customFormat="false" ht="48" hidden="false" customHeight="true" outlineLevel="0" collapsed="false">
      <c r="A22" s="8" t="s">
        <v>172</v>
      </c>
      <c r="B22" s="8" t="s">
        <v>166</v>
      </c>
      <c r="C22" s="8" t="s">
        <v>166</v>
      </c>
      <c r="D22" s="9" t="s">
        <v>173</v>
      </c>
      <c r="E22" s="9" t="s">
        <v>173</v>
      </c>
      <c r="F22" s="10" t="n">
        <v>1</v>
      </c>
      <c r="G22" s="11" t="n">
        <v>4500</v>
      </c>
      <c r="H22" s="10" t="n">
        <v>6</v>
      </c>
      <c r="I22" s="8" t="s">
        <v>36</v>
      </c>
      <c r="J22" s="8" t="s">
        <v>37</v>
      </c>
      <c r="K22" s="9" t="s">
        <v>174</v>
      </c>
      <c r="L22" s="9" t="s">
        <v>175</v>
      </c>
      <c r="M22" s="9" t="s">
        <v>176</v>
      </c>
      <c r="N22" s="9" t="s">
        <v>177</v>
      </c>
      <c r="O22" s="8" t="s">
        <v>42</v>
      </c>
    </row>
    <row r="23" customFormat="false" ht="48" hidden="false" customHeight="true" outlineLevel="0" collapsed="false">
      <c r="A23" s="12" t="s">
        <v>178</v>
      </c>
      <c r="B23" s="12" t="s">
        <v>166</v>
      </c>
      <c r="C23" s="12" t="s">
        <v>166</v>
      </c>
      <c r="D23" s="13" t="s">
        <v>179</v>
      </c>
      <c r="E23" s="13" t="s">
        <v>179</v>
      </c>
      <c r="F23" s="14" t="n">
        <v>1</v>
      </c>
      <c r="G23" s="15" t="n">
        <v>5500</v>
      </c>
      <c r="H23" s="14" t="n">
        <v>7</v>
      </c>
      <c r="I23" s="20" t="s">
        <v>106</v>
      </c>
      <c r="J23" s="12" t="s">
        <v>37</v>
      </c>
      <c r="K23" s="13" t="s">
        <v>180</v>
      </c>
      <c r="L23" s="13" t="s">
        <v>181</v>
      </c>
      <c r="M23" s="13" t="s">
        <v>182</v>
      </c>
      <c r="N23" s="13" t="s">
        <v>183</v>
      </c>
      <c r="O23" s="12" t="s">
        <v>42</v>
      </c>
    </row>
    <row r="24" customFormat="false" ht="48" hidden="false" customHeight="true" outlineLevel="0" collapsed="false">
      <c r="A24" s="16" t="s">
        <v>184</v>
      </c>
      <c r="B24" s="16" t="s">
        <v>166</v>
      </c>
      <c r="C24" s="16" t="s">
        <v>166</v>
      </c>
      <c r="D24" s="17" t="s">
        <v>185</v>
      </c>
      <c r="E24" s="17" t="s">
        <v>185</v>
      </c>
      <c r="F24" s="18" t="n">
        <v>1</v>
      </c>
      <c r="G24" s="19" t="n">
        <v>5500</v>
      </c>
      <c r="H24" s="18" t="n">
        <v>7</v>
      </c>
      <c r="I24" s="16" t="s">
        <v>70</v>
      </c>
      <c r="J24" s="16" t="s">
        <v>70</v>
      </c>
      <c r="K24" s="17" t="s">
        <v>186</v>
      </c>
      <c r="L24" s="17" t="s">
        <v>187</v>
      </c>
      <c r="M24" s="17" t="s">
        <v>188</v>
      </c>
      <c r="N24" s="17" t="s">
        <v>189</v>
      </c>
      <c r="O24" s="16" t="s">
        <v>42</v>
      </c>
    </row>
    <row r="25" customFormat="false" ht="48" hidden="false" customHeight="true" outlineLevel="0" collapsed="false">
      <c r="A25" s="16" t="s">
        <v>190</v>
      </c>
      <c r="B25" s="16" t="s">
        <v>166</v>
      </c>
      <c r="C25" s="16" t="s">
        <v>166</v>
      </c>
      <c r="D25" s="17" t="s">
        <v>191</v>
      </c>
      <c r="E25" s="17" t="s">
        <v>191</v>
      </c>
      <c r="F25" s="18" t="n">
        <v>1</v>
      </c>
      <c r="G25" s="19" t="n">
        <v>5800</v>
      </c>
      <c r="H25" s="18" t="n">
        <v>8</v>
      </c>
      <c r="I25" s="16" t="s">
        <v>70</v>
      </c>
      <c r="J25" s="16" t="s">
        <v>70</v>
      </c>
      <c r="K25" s="17" t="s">
        <v>192</v>
      </c>
      <c r="L25" s="17" t="s">
        <v>193</v>
      </c>
      <c r="M25" s="17" t="s">
        <v>194</v>
      </c>
      <c r="N25" s="17" t="s">
        <v>195</v>
      </c>
      <c r="O25" s="16" t="s">
        <v>42</v>
      </c>
    </row>
    <row r="26" customFormat="false" ht="48" hidden="false" customHeight="true" outlineLevel="0" collapsed="false">
      <c r="A26" s="8" t="s">
        <v>196</v>
      </c>
      <c r="B26" s="8" t="s">
        <v>197</v>
      </c>
      <c r="C26" s="8" t="s">
        <v>197</v>
      </c>
      <c r="D26" s="9" t="s">
        <v>198</v>
      </c>
      <c r="E26" s="9" t="s">
        <v>198</v>
      </c>
      <c r="F26" s="10" t="n">
        <v>8</v>
      </c>
      <c r="G26" s="11" t="n">
        <v>11000</v>
      </c>
      <c r="H26" s="10" t="n">
        <v>12</v>
      </c>
      <c r="I26" s="8" t="s">
        <v>36</v>
      </c>
      <c r="J26" s="8" t="s">
        <v>37</v>
      </c>
      <c r="K26" s="9" t="s">
        <v>199</v>
      </c>
      <c r="L26" s="9" t="s">
        <v>200</v>
      </c>
      <c r="M26" s="9" t="s">
        <v>201</v>
      </c>
      <c r="N26" s="9" t="s">
        <v>202</v>
      </c>
      <c r="O26" s="8" t="s">
        <v>42</v>
      </c>
    </row>
    <row r="27" customFormat="false" ht="48" hidden="false" customHeight="true" outlineLevel="0" collapsed="false">
      <c r="A27" s="12" t="s">
        <v>203</v>
      </c>
      <c r="B27" s="12" t="s">
        <v>197</v>
      </c>
      <c r="C27" s="12" t="s">
        <v>197</v>
      </c>
      <c r="D27" s="13" t="s">
        <v>204</v>
      </c>
      <c r="E27" s="13" t="s">
        <v>204</v>
      </c>
      <c r="F27" s="14" t="n">
        <v>8</v>
      </c>
      <c r="G27" s="15" t="n">
        <v>12000</v>
      </c>
      <c r="H27" s="14" t="n">
        <v>12</v>
      </c>
      <c r="I27" s="12" t="s">
        <v>85</v>
      </c>
      <c r="J27" s="12" t="s">
        <v>37</v>
      </c>
      <c r="K27" s="13" t="s">
        <v>205</v>
      </c>
      <c r="L27" s="13" t="s">
        <v>206</v>
      </c>
      <c r="M27" s="13" t="s">
        <v>207</v>
      </c>
      <c r="N27" s="13" t="s">
        <v>208</v>
      </c>
      <c r="O27" s="12" t="s">
        <v>42</v>
      </c>
    </row>
    <row r="28" customFormat="false" ht="48" hidden="false" customHeight="true" outlineLevel="0" collapsed="false">
      <c r="A28" s="8" t="s">
        <v>209</v>
      </c>
      <c r="B28" s="8" t="s">
        <v>197</v>
      </c>
      <c r="C28" s="8" t="s">
        <v>197</v>
      </c>
      <c r="D28" s="9" t="s">
        <v>210</v>
      </c>
      <c r="E28" s="9" t="s">
        <v>210</v>
      </c>
      <c r="F28" s="10" t="n">
        <v>8</v>
      </c>
      <c r="G28" s="11" t="n">
        <v>9500</v>
      </c>
      <c r="H28" s="10" t="n">
        <v>12</v>
      </c>
      <c r="I28" s="8" t="s">
        <v>36</v>
      </c>
      <c r="J28" s="8" t="s">
        <v>37</v>
      </c>
      <c r="K28" s="9" t="s">
        <v>211</v>
      </c>
      <c r="L28" s="9" t="s">
        <v>212</v>
      </c>
      <c r="M28" s="9" t="s">
        <v>213</v>
      </c>
      <c r="N28" s="9" t="s">
        <v>214</v>
      </c>
      <c r="O28" s="8" t="s">
        <v>42</v>
      </c>
    </row>
    <row r="29" customFormat="false" ht="48" hidden="false" customHeight="true" outlineLevel="0" collapsed="false">
      <c r="A29" s="12" t="s">
        <v>215</v>
      </c>
      <c r="B29" s="12" t="s">
        <v>197</v>
      </c>
      <c r="C29" s="12" t="s">
        <v>197</v>
      </c>
      <c r="D29" s="13" t="s">
        <v>216</v>
      </c>
      <c r="E29" s="13" t="s">
        <v>216</v>
      </c>
      <c r="F29" s="14" t="n">
        <v>8</v>
      </c>
      <c r="G29" s="15" t="n">
        <v>9000</v>
      </c>
      <c r="H29" s="14" t="n">
        <v>12</v>
      </c>
      <c r="I29" s="12" t="s">
        <v>36</v>
      </c>
      <c r="J29" s="12" t="s">
        <v>37</v>
      </c>
      <c r="K29" s="13" t="s">
        <v>217</v>
      </c>
      <c r="L29" s="13" t="s">
        <v>218</v>
      </c>
      <c r="M29" s="13" t="s">
        <v>219</v>
      </c>
      <c r="N29" s="13" t="s">
        <v>220</v>
      </c>
      <c r="O29" s="12" t="s">
        <v>42</v>
      </c>
    </row>
    <row r="30" customFormat="false" ht="48" hidden="false" customHeight="true" outlineLevel="0" collapsed="false">
      <c r="A30" s="8" t="s">
        <v>221</v>
      </c>
      <c r="B30" s="8" t="s">
        <v>197</v>
      </c>
      <c r="C30" s="8" t="s">
        <v>197</v>
      </c>
      <c r="D30" s="9" t="s">
        <v>222</v>
      </c>
      <c r="E30" s="9" t="s">
        <v>222</v>
      </c>
      <c r="F30" s="10" t="n">
        <v>8</v>
      </c>
      <c r="G30" s="11" t="n">
        <v>12000</v>
      </c>
      <c r="H30" s="10" t="n">
        <v>13</v>
      </c>
      <c r="I30" s="20" t="s">
        <v>106</v>
      </c>
      <c r="J30" s="8" t="s">
        <v>37</v>
      </c>
      <c r="K30" s="9" t="s">
        <v>223</v>
      </c>
      <c r="L30" s="9" t="s">
        <v>224</v>
      </c>
      <c r="M30" s="9" t="s">
        <v>225</v>
      </c>
      <c r="N30" s="9" t="s">
        <v>226</v>
      </c>
      <c r="O30" s="8" t="s">
        <v>42</v>
      </c>
    </row>
    <row r="31" customFormat="false" ht="48" hidden="false" customHeight="true" outlineLevel="0" collapsed="false">
      <c r="A31" s="16" t="s">
        <v>227</v>
      </c>
      <c r="B31" s="16" t="s">
        <v>197</v>
      </c>
      <c r="C31" s="16" t="s">
        <v>197</v>
      </c>
      <c r="D31" s="17" t="s">
        <v>228</v>
      </c>
      <c r="E31" s="17" t="s">
        <v>228</v>
      </c>
      <c r="F31" s="18" t="n">
        <v>8</v>
      </c>
      <c r="G31" s="19" t="n">
        <v>11500</v>
      </c>
      <c r="H31" s="18" t="n">
        <v>13</v>
      </c>
      <c r="I31" s="16" t="s">
        <v>70</v>
      </c>
      <c r="J31" s="16" t="s">
        <v>70</v>
      </c>
      <c r="K31" s="17" t="s">
        <v>229</v>
      </c>
      <c r="L31" s="17" t="s">
        <v>230</v>
      </c>
      <c r="M31" s="17" t="s">
        <v>231</v>
      </c>
      <c r="N31" s="17" t="s">
        <v>232</v>
      </c>
      <c r="O31" s="16" t="s">
        <v>42</v>
      </c>
    </row>
    <row r="32" customFormat="false" ht="48" hidden="false" customHeight="true" outlineLevel="0" collapsed="false">
      <c r="A32" s="8" t="s">
        <v>233</v>
      </c>
      <c r="B32" s="8" t="s">
        <v>234</v>
      </c>
      <c r="C32" s="8" t="s">
        <v>234</v>
      </c>
      <c r="D32" s="9" t="s">
        <v>235</v>
      </c>
      <c r="E32" s="9" t="s">
        <v>235</v>
      </c>
      <c r="F32" s="10" t="n">
        <v>6</v>
      </c>
      <c r="G32" s="11" t="n">
        <v>12000</v>
      </c>
      <c r="H32" s="10" t="n">
        <v>10</v>
      </c>
      <c r="I32" s="20" t="s">
        <v>106</v>
      </c>
      <c r="J32" s="8" t="s">
        <v>37</v>
      </c>
      <c r="K32" s="9" t="s">
        <v>236</v>
      </c>
      <c r="L32" s="9" t="s">
        <v>237</v>
      </c>
      <c r="M32" s="9" t="s">
        <v>238</v>
      </c>
      <c r="N32" s="9" t="s">
        <v>239</v>
      </c>
      <c r="O32" s="8" t="s">
        <v>42</v>
      </c>
    </row>
    <row r="33" customFormat="false" ht="48" hidden="false" customHeight="true" outlineLevel="0" collapsed="false">
      <c r="A33" s="12" t="s">
        <v>240</v>
      </c>
      <c r="B33" s="12" t="s">
        <v>234</v>
      </c>
      <c r="C33" s="12" t="s">
        <v>234</v>
      </c>
      <c r="D33" s="13" t="s">
        <v>241</v>
      </c>
      <c r="E33" s="13" t="s">
        <v>241</v>
      </c>
      <c r="F33" s="14" t="n">
        <v>4</v>
      </c>
      <c r="G33" s="15" t="n">
        <v>6500</v>
      </c>
      <c r="H33" s="14" t="n">
        <v>8</v>
      </c>
      <c r="I33" s="12" t="s">
        <v>36</v>
      </c>
      <c r="J33" s="12" t="s">
        <v>37</v>
      </c>
      <c r="K33" s="13" t="s">
        <v>242</v>
      </c>
      <c r="L33" s="13" t="s">
        <v>243</v>
      </c>
      <c r="M33" s="13" t="s">
        <v>244</v>
      </c>
      <c r="N33" s="13" t="s">
        <v>245</v>
      </c>
      <c r="O33" s="12" t="s">
        <v>42</v>
      </c>
    </row>
    <row r="34" customFormat="false" ht="48" hidden="false" customHeight="true" outlineLevel="0" collapsed="false">
      <c r="A34" s="8" t="s">
        <v>246</v>
      </c>
      <c r="B34" s="8" t="s">
        <v>234</v>
      </c>
      <c r="C34" s="8" t="s">
        <v>234</v>
      </c>
      <c r="D34" s="9" t="s">
        <v>247</v>
      </c>
      <c r="E34" s="9" t="s">
        <v>247</v>
      </c>
      <c r="F34" s="10" t="n">
        <v>4</v>
      </c>
      <c r="G34" s="11" t="n">
        <v>6000</v>
      </c>
      <c r="H34" s="10" t="n">
        <v>8</v>
      </c>
      <c r="I34" s="8" t="s">
        <v>36</v>
      </c>
      <c r="J34" s="8" t="s">
        <v>37</v>
      </c>
      <c r="K34" s="9" t="s">
        <v>248</v>
      </c>
      <c r="L34" s="9" t="s">
        <v>249</v>
      </c>
      <c r="M34" s="9" t="s">
        <v>250</v>
      </c>
      <c r="N34" s="9" t="s">
        <v>251</v>
      </c>
      <c r="O34" s="8" t="s">
        <v>42</v>
      </c>
    </row>
    <row r="35" customFormat="false" ht="48" hidden="false" customHeight="true" outlineLevel="0" collapsed="false">
      <c r="A35" s="12" t="s">
        <v>252</v>
      </c>
      <c r="B35" s="12" t="s">
        <v>234</v>
      </c>
      <c r="C35" s="12" t="s">
        <v>234</v>
      </c>
      <c r="D35" s="13" t="s">
        <v>253</v>
      </c>
      <c r="E35" s="13" t="s">
        <v>253</v>
      </c>
      <c r="F35" s="14" t="n">
        <v>4</v>
      </c>
      <c r="G35" s="15" t="n">
        <v>5500</v>
      </c>
      <c r="H35" s="14" t="n">
        <v>8</v>
      </c>
      <c r="I35" s="12" t="s">
        <v>36</v>
      </c>
      <c r="J35" s="12" t="s">
        <v>37</v>
      </c>
      <c r="K35" s="13" t="s">
        <v>254</v>
      </c>
      <c r="L35" s="13" t="s">
        <v>255</v>
      </c>
      <c r="M35" s="13" t="s">
        <v>256</v>
      </c>
      <c r="N35" s="13" t="s">
        <v>257</v>
      </c>
      <c r="O35" s="12" t="s">
        <v>42</v>
      </c>
    </row>
    <row r="36" customFormat="false" ht="48" hidden="false" customHeight="true" outlineLevel="0" collapsed="false">
      <c r="A36" s="8" t="s">
        <v>258</v>
      </c>
      <c r="B36" s="8" t="s">
        <v>234</v>
      </c>
      <c r="C36" s="8" t="s">
        <v>234</v>
      </c>
      <c r="D36" s="9" t="s">
        <v>259</v>
      </c>
      <c r="E36" s="9" t="s">
        <v>259</v>
      </c>
      <c r="F36" s="10" t="n">
        <v>4</v>
      </c>
      <c r="G36" s="11" t="n">
        <v>7000</v>
      </c>
      <c r="H36" s="10" t="n">
        <v>9</v>
      </c>
      <c r="I36" s="8" t="s">
        <v>85</v>
      </c>
      <c r="J36" s="8" t="s">
        <v>37</v>
      </c>
      <c r="K36" s="9" t="s">
        <v>260</v>
      </c>
      <c r="L36" s="9" t="s">
        <v>261</v>
      </c>
      <c r="M36" s="9" t="s">
        <v>262</v>
      </c>
      <c r="N36" s="9" t="s">
        <v>263</v>
      </c>
      <c r="O36" s="8" t="s">
        <v>42</v>
      </c>
    </row>
    <row r="37" customFormat="false" ht="48" hidden="false" customHeight="true" outlineLevel="0" collapsed="false">
      <c r="A37" s="12" t="s">
        <v>264</v>
      </c>
      <c r="B37" s="12" t="s">
        <v>265</v>
      </c>
      <c r="C37" s="12" t="s">
        <v>265</v>
      </c>
      <c r="D37" s="13" t="s">
        <v>266</v>
      </c>
      <c r="E37" s="13" t="s">
        <v>266</v>
      </c>
      <c r="F37" s="14" t="n">
        <v>8</v>
      </c>
      <c r="G37" s="15" t="n">
        <v>10300</v>
      </c>
      <c r="H37" s="14" t="n">
        <v>10</v>
      </c>
      <c r="I37" s="12" t="s">
        <v>36</v>
      </c>
      <c r="J37" s="12" t="s">
        <v>37</v>
      </c>
      <c r="K37" s="13" t="s">
        <v>267</v>
      </c>
      <c r="L37" s="13" t="s">
        <v>268</v>
      </c>
      <c r="M37" s="13" t="s">
        <v>269</v>
      </c>
      <c r="N37" s="13" t="s">
        <v>270</v>
      </c>
      <c r="O37" s="12" t="s">
        <v>42</v>
      </c>
    </row>
    <row r="38" customFormat="false" ht="48" hidden="false" customHeight="true" outlineLevel="0" collapsed="false">
      <c r="A38" s="8" t="s">
        <v>271</v>
      </c>
      <c r="B38" s="8" t="s">
        <v>265</v>
      </c>
      <c r="C38" s="8" t="s">
        <v>265</v>
      </c>
      <c r="D38" s="9" t="s">
        <v>272</v>
      </c>
      <c r="E38" s="9" t="s">
        <v>272</v>
      </c>
      <c r="F38" s="10" t="n">
        <v>8</v>
      </c>
      <c r="G38" s="11" t="n">
        <v>10100</v>
      </c>
      <c r="H38" s="10" t="n">
        <v>10</v>
      </c>
      <c r="I38" s="8" t="s">
        <v>36</v>
      </c>
      <c r="J38" s="8" t="s">
        <v>37</v>
      </c>
      <c r="K38" s="9" t="s">
        <v>273</v>
      </c>
      <c r="L38" s="9" t="s">
        <v>274</v>
      </c>
      <c r="M38" s="9" t="s">
        <v>201</v>
      </c>
      <c r="N38" s="9" t="s">
        <v>275</v>
      </c>
      <c r="O38" s="8" t="s">
        <v>42</v>
      </c>
    </row>
    <row r="39" customFormat="false" ht="48" hidden="false" customHeight="true" outlineLevel="0" collapsed="false">
      <c r="A39" s="12" t="s">
        <v>276</v>
      </c>
      <c r="B39" s="12" t="s">
        <v>265</v>
      </c>
      <c r="C39" s="12" t="s">
        <v>265</v>
      </c>
      <c r="D39" s="13" t="s">
        <v>277</v>
      </c>
      <c r="E39" s="13" t="s">
        <v>277</v>
      </c>
      <c r="F39" s="14" t="n">
        <v>8</v>
      </c>
      <c r="G39" s="15" t="n">
        <v>10500</v>
      </c>
      <c r="H39" s="14" t="n">
        <v>10</v>
      </c>
      <c r="I39" s="12" t="s">
        <v>36</v>
      </c>
      <c r="J39" s="12" t="s">
        <v>37</v>
      </c>
      <c r="K39" s="13" t="s">
        <v>278</v>
      </c>
      <c r="L39" s="13" t="s">
        <v>279</v>
      </c>
      <c r="M39" s="13" t="s">
        <v>280</v>
      </c>
      <c r="N39" s="13" t="s">
        <v>281</v>
      </c>
      <c r="O39" s="12" t="s">
        <v>42</v>
      </c>
    </row>
    <row r="40" customFormat="false" ht="48" hidden="false" customHeight="true" outlineLevel="0" collapsed="false">
      <c r="A40" s="8" t="s">
        <v>282</v>
      </c>
      <c r="B40" s="8" t="s">
        <v>265</v>
      </c>
      <c r="C40" s="8" t="s">
        <v>265</v>
      </c>
      <c r="D40" s="9" t="s">
        <v>283</v>
      </c>
      <c r="E40" s="9" t="s">
        <v>283</v>
      </c>
      <c r="F40" s="10" t="n">
        <v>8</v>
      </c>
      <c r="G40" s="11" t="n">
        <v>10300</v>
      </c>
      <c r="H40" s="10" t="n">
        <v>10</v>
      </c>
      <c r="I40" s="8" t="s">
        <v>36</v>
      </c>
      <c r="J40" s="8" t="s">
        <v>37</v>
      </c>
      <c r="K40" s="9" t="s">
        <v>284</v>
      </c>
      <c r="L40" s="9" t="s">
        <v>285</v>
      </c>
      <c r="M40" s="9" t="s">
        <v>201</v>
      </c>
      <c r="N40" s="9" t="s">
        <v>286</v>
      </c>
      <c r="O40" s="8" t="s">
        <v>42</v>
      </c>
    </row>
    <row r="41" customFormat="false" ht="48" hidden="false" customHeight="true" outlineLevel="0" collapsed="false">
      <c r="A41" s="12" t="s">
        <v>287</v>
      </c>
      <c r="B41" s="12" t="s">
        <v>265</v>
      </c>
      <c r="C41" s="12" t="s">
        <v>265</v>
      </c>
      <c r="D41" s="13" t="s">
        <v>288</v>
      </c>
      <c r="E41" s="13" t="s">
        <v>288</v>
      </c>
      <c r="F41" s="14" t="n">
        <v>8</v>
      </c>
      <c r="G41" s="15" t="n">
        <v>13000</v>
      </c>
      <c r="H41" s="14" t="n">
        <v>12</v>
      </c>
      <c r="I41" s="20" t="s">
        <v>106</v>
      </c>
      <c r="J41" s="12" t="s">
        <v>37</v>
      </c>
      <c r="K41" s="13" t="s">
        <v>289</v>
      </c>
      <c r="L41" s="13" t="s">
        <v>290</v>
      </c>
      <c r="M41" s="13" t="s">
        <v>291</v>
      </c>
      <c r="N41" s="13" t="s">
        <v>292</v>
      </c>
      <c r="O41" s="12" t="s">
        <v>42</v>
      </c>
    </row>
    <row r="42" customFormat="false" ht="48" hidden="false" customHeight="true" outlineLevel="0" collapsed="false">
      <c r="A42" s="16" t="s">
        <v>293</v>
      </c>
      <c r="B42" s="16" t="s">
        <v>265</v>
      </c>
      <c r="C42" s="16" t="s">
        <v>265</v>
      </c>
      <c r="D42" s="17" t="s">
        <v>294</v>
      </c>
      <c r="E42" s="17" t="s">
        <v>294</v>
      </c>
      <c r="F42" s="18" t="n">
        <v>8</v>
      </c>
      <c r="G42" s="19" t="n">
        <v>10800</v>
      </c>
      <c r="H42" s="18" t="n">
        <v>10</v>
      </c>
      <c r="I42" s="16" t="s">
        <v>70</v>
      </c>
      <c r="J42" s="16" t="s">
        <v>70</v>
      </c>
      <c r="K42" s="17" t="s">
        <v>295</v>
      </c>
      <c r="L42" s="17" t="s">
        <v>296</v>
      </c>
      <c r="M42" s="17" t="s">
        <v>297</v>
      </c>
      <c r="N42" s="17" t="s">
        <v>298</v>
      </c>
      <c r="O42" s="16" t="s">
        <v>42</v>
      </c>
    </row>
    <row r="43" customFormat="false" ht="48" hidden="false" customHeight="true" outlineLevel="0" collapsed="false">
      <c r="A43" s="16" t="s">
        <v>299</v>
      </c>
      <c r="B43" s="16" t="s">
        <v>265</v>
      </c>
      <c r="C43" s="16" t="s">
        <v>265</v>
      </c>
      <c r="D43" s="17" t="s">
        <v>300</v>
      </c>
      <c r="E43" s="17" t="s">
        <v>300</v>
      </c>
      <c r="F43" s="18" t="n">
        <v>8</v>
      </c>
      <c r="G43" s="19" t="n">
        <v>11200</v>
      </c>
      <c r="H43" s="18" t="n">
        <v>11</v>
      </c>
      <c r="I43" s="16" t="s">
        <v>70</v>
      </c>
      <c r="J43" s="16" t="s">
        <v>70</v>
      </c>
      <c r="K43" s="17" t="s">
        <v>301</v>
      </c>
      <c r="L43" s="17" t="s">
        <v>302</v>
      </c>
      <c r="M43" s="17" t="s">
        <v>201</v>
      </c>
      <c r="N43" s="17" t="s">
        <v>303</v>
      </c>
      <c r="O43" s="16" t="s">
        <v>42</v>
      </c>
    </row>
    <row r="44" customFormat="false" ht="48" hidden="false" customHeight="true" outlineLevel="0" collapsed="false">
      <c r="A44" s="8" t="s">
        <v>304</v>
      </c>
      <c r="B44" s="8" t="s">
        <v>305</v>
      </c>
      <c r="C44" s="8" t="s">
        <v>305</v>
      </c>
      <c r="D44" s="9" t="s">
        <v>306</v>
      </c>
      <c r="E44" s="9" t="s">
        <v>306</v>
      </c>
      <c r="F44" s="10" t="n">
        <v>2</v>
      </c>
      <c r="G44" s="11" t="n">
        <v>3500</v>
      </c>
      <c r="H44" s="10" t="n">
        <v>5</v>
      </c>
      <c r="I44" s="8" t="s">
        <v>36</v>
      </c>
      <c r="J44" s="8" t="s">
        <v>37</v>
      </c>
      <c r="K44" s="9" t="s">
        <v>307</v>
      </c>
      <c r="L44" s="9" t="s">
        <v>308</v>
      </c>
      <c r="M44" s="9" t="s">
        <v>309</v>
      </c>
      <c r="N44" s="9" t="s">
        <v>310</v>
      </c>
      <c r="O44" s="8" t="s">
        <v>42</v>
      </c>
    </row>
    <row r="45" customFormat="false" ht="48" hidden="false" customHeight="true" outlineLevel="0" collapsed="false">
      <c r="A45" s="12" t="s">
        <v>311</v>
      </c>
      <c r="B45" s="12" t="s">
        <v>305</v>
      </c>
      <c r="C45" s="12" t="s">
        <v>305</v>
      </c>
      <c r="D45" s="13" t="s">
        <v>312</v>
      </c>
      <c r="E45" s="13" t="s">
        <v>312</v>
      </c>
      <c r="F45" s="14" t="n">
        <v>2</v>
      </c>
      <c r="G45" s="15" t="n">
        <v>3800</v>
      </c>
      <c r="H45" s="14" t="n">
        <v>5</v>
      </c>
      <c r="I45" s="12" t="s">
        <v>36</v>
      </c>
      <c r="J45" s="12" t="s">
        <v>37</v>
      </c>
      <c r="K45" s="13" t="s">
        <v>313</v>
      </c>
      <c r="L45" s="13" t="s">
        <v>314</v>
      </c>
      <c r="M45" s="13" t="s">
        <v>309</v>
      </c>
      <c r="N45" s="13" t="s">
        <v>315</v>
      </c>
      <c r="O45" s="12" t="s">
        <v>42</v>
      </c>
    </row>
    <row r="46" customFormat="false" ht="48" hidden="false" customHeight="true" outlineLevel="0" collapsed="false">
      <c r="A46" s="8" t="s">
        <v>316</v>
      </c>
      <c r="B46" s="8" t="s">
        <v>305</v>
      </c>
      <c r="C46" s="8" t="s">
        <v>305</v>
      </c>
      <c r="D46" s="9" t="s">
        <v>317</v>
      </c>
      <c r="E46" s="9" t="s">
        <v>317</v>
      </c>
      <c r="F46" s="10" t="n">
        <v>2</v>
      </c>
      <c r="G46" s="11" t="n">
        <v>4000</v>
      </c>
      <c r="H46" s="10" t="n">
        <v>5</v>
      </c>
      <c r="I46" s="8" t="s">
        <v>36</v>
      </c>
      <c r="J46" s="8" t="s">
        <v>37</v>
      </c>
      <c r="K46" s="9" t="s">
        <v>318</v>
      </c>
      <c r="L46" s="9" t="s">
        <v>319</v>
      </c>
      <c r="M46" s="9" t="s">
        <v>309</v>
      </c>
      <c r="N46" s="9" t="s">
        <v>320</v>
      </c>
      <c r="O46" s="8" t="s">
        <v>42</v>
      </c>
    </row>
    <row r="47" customFormat="false" ht="48" hidden="false" customHeight="true" outlineLevel="0" collapsed="false">
      <c r="A47" s="16" t="s">
        <v>321</v>
      </c>
      <c r="B47" s="16" t="s">
        <v>305</v>
      </c>
      <c r="C47" s="16" t="s">
        <v>305</v>
      </c>
      <c r="D47" s="17" t="s">
        <v>322</v>
      </c>
      <c r="E47" s="17" t="s">
        <v>322</v>
      </c>
      <c r="F47" s="18" t="n">
        <v>2</v>
      </c>
      <c r="G47" s="19" t="n">
        <v>4500</v>
      </c>
      <c r="H47" s="18" t="n">
        <v>6</v>
      </c>
      <c r="I47" s="16" t="s">
        <v>70</v>
      </c>
      <c r="J47" s="16" t="s">
        <v>70</v>
      </c>
      <c r="K47" s="17" t="s">
        <v>323</v>
      </c>
      <c r="L47" s="17" t="s">
        <v>324</v>
      </c>
      <c r="M47" s="17" t="s">
        <v>325</v>
      </c>
      <c r="N47" s="17" t="s">
        <v>326</v>
      </c>
      <c r="O47" s="16" t="s">
        <v>42</v>
      </c>
    </row>
    <row r="48" customFormat="false" ht="48" hidden="false" customHeight="true" outlineLevel="0" collapsed="false">
      <c r="A48" s="8" t="s">
        <v>327</v>
      </c>
      <c r="B48" s="8" t="s">
        <v>328</v>
      </c>
      <c r="C48" s="8" t="s">
        <v>328</v>
      </c>
      <c r="D48" s="9" t="s">
        <v>329</v>
      </c>
      <c r="E48" s="9" t="s">
        <v>329</v>
      </c>
      <c r="F48" s="10" t="n">
        <v>8</v>
      </c>
      <c r="G48" s="11" t="n">
        <v>6500</v>
      </c>
      <c r="H48" s="10" t="n">
        <v>7</v>
      </c>
      <c r="I48" s="8" t="s">
        <v>36</v>
      </c>
      <c r="J48" s="8" t="s">
        <v>37</v>
      </c>
      <c r="K48" s="9" t="s">
        <v>330</v>
      </c>
      <c r="L48" s="9" t="s">
        <v>331</v>
      </c>
      <c r="M48" s="9" t="s">
        <v>332</v>
      </c>
      <c r="N48" s="9" t="s">
        <v>333</v>
      </c>
      <c r="O48" s="8" t="s">
        <v>42</v>
      </c>
    </row>
    <row r="49" customFormat="false" ht="48" hidden="false" customHeight="true" outlineLevel="0" collapsed="false">
      <c r="A49" s="12" t="s">
        <v>334</v>
      </c>
      <c r="B49" s="12" t="s">
        <v>328</v>
      </c>
      <c r="C49" s="12" t="s">
        <v>328</v>
      </c>
      <c r="D49" s="13" t="s">
        <v>335</v>
      </c>
      <c r="E49" s="13" t="s">
        <v>335</v>
      </c>
      <c r="F49" s="14" t="n">
        <v>8</v>
      </c>
      <c r="G49" s="15" t="n">
        <v>6800</v>
      </c>
      <c r="H49" s="14" t="n">
        <v>7</v>
      </c>
      <c r="I49" s="12" t="s">
        <v>36</v>
      </c>
      <c r="J49" s="12" t="s">
        <v>37</v>
      </c>
      <c r="K49" s="13" t="s">
        <v>336</v>
      </c>
      <c r="L49" s="13" t="s">
        <v>337</v>
      </c>
      <c r="M49" s="13" t="s">
        <v>332</v>
      </c>
      <c r="N49" s="13" t="s">
        <v>338</v>
      </c>
      <c r="O49" s="12" t="s">
        <v>42</v>
      </c>
    </row>
    <row r="50" customFormat="false" ht="48" hidden="false" customHeight="true" outlineLevel="0" collapsed="false">
      <c r="A50" s="8" t="s">
        <v>339</v>
      </c>
      <c r="B50" s="8" t="s">
        <v>328</v>
      </c>
      <c r="C50" s="8" t="s">
        <v>328</v>
      </c>
      <c r="D50" s="9" t="s">
        <v>340</v>
      </c>
      <c r="E50" s="9" t="s">
        <v>340</v>
      </c>
      <c r="F50" s="10" t="n">
        <v>8</v>
      </c>
      <c r="G50" s="11" t="n">
        <v>4500</v>
      </c>
      <c r="H50" s="10" t="n">
        <v>6</v>
      </c>
      <c r="I50" s="8" t="s">
        <v>63</v>
      </c>
      <c r="J50" s="8" t="s">
        <v>37</v>
      </c>
      <c r="K50" s="9" t="s">
        <v>341</v>
      </c>
      <c r="L50" s="9" t="s">
        <v>342</v>
      </c>
      <c r="M50" s="9" t="s">
        <v>343</v>
      </c>
      <c r="N50" s="9" t="s">
        <v>344</v>
      </c>
      <c r="O50" s="8" t="s">
        <v>42</v>
      </c>
    </row>
    <row r="51" customFormat="false" ht="48" hidden="false" customHeight="true" outlineLevel="0" collapsed="false">
      <c r="A51" s="16" t="s">
        <v>345</v>
      </c>
      <c r="B51" s="16" t="s">
        <v>328</v>
      </c>
      <c r="C51" s="16" t="s">
        <v>328</v>
      </c>
      <c r="D51" s="17" t="s">
        <v>346</v>
      </c>
      <c r="E51" s="17" t="s">
        <v>346</v>
      </c>
      <c r="F51" s="18" t="n">
        <v>8</v>
      </c>
      <c r="G51" s="19" t="n">
        <v>5000</v>
      </c>
      <c r="H51" s="18" t="n">
        <v>6</v>
      </c>
      <c r="I51" s="16" t="s">
        <v>70</v>
      </c>
      <c r="J51" s="16" t="s">
        <v>70</v>
      </c>
      <c r="K51" s="17" t="s">
        <v>347</v>
      </c>
      <c r="L51" s="17" t="s">
        <v>348</v>
      </c>
      <c r="M51" s="17" t="s">
        <v>349</v>
      </c>
      <c r="N51" s="17" t="s">
        <v>350</v>
      </c>
      <c r="O51" s="16" t="s">
        <v>42</v>
      </c>
    </row>
    <row r="52" customFormat="false" ht="48" hidden="false" customHeight="true" outlineLevel="0" collapsed="false">
      <c r="A52" s="8" t="s">
        <v>351</v>
      </c>
      <c r="B52" s="8" t="s">
        <v>352</v>
      </c>
      <c r="C52" s="8" t="s">
        <v>352</v>
      </c>
      <c r="D52" s="9" t="s">
        <v>353</v>
      </c>
      <c r="E52" s="9" t="s">
        <v>353</v>
      </c>
      <c r="F52" s="10" t="n">
        <v>1</v>
      </c>
      <c r="G52" s="11" t="n">
        <v>10000</v>
      </c>
      <c r="H52" s="10" t="n">
        <v>14</v>
      </c>
      <c r="I52" s="8" t="s">
        <v>354</v>
      </c>
      <c r="J52" s="8" t="s">
        <v>37</v>
      </c>
      <c r="K52" s="9" t="s">
        <v>355</v>
      </c>
      <c r="L52" s="9" t="s">
        <v>356</v>
      </c>
      <c r="M52" s="9" t="s">
        <v>357</v>
      </c>
      <c r="N52" s="9" t="s">
        <v>358</v>
      </c>
      <c r="O52" s="8" t="s">
        <v>42</v>
      </c>
    </row>
    <row r="53" customFormat="false" ht="48" hidden="false" customHeight="true" outlineLevel="0" collapsed="false">
      <c r="A53" s="12" t="s">
        <v>359</v>
      </c>
      <c r="B53" s="12" t="s">
        <v>352</v>
      </c>
      <c r="C53" s="12" t="s">
        <v>352</v>
      </c>
      <c r="D53" s="13" t="s">
        <v>360</v>
      </c>
      <c r="E53" s="13" t="s">
        <v>360</v>
      </c>
      <c r="F53" s="14" t="n">
        <v>1</v>
      </c>
      <c r="G53" s="15" t="n">
        <v>9500</v>
      </c>
      <c r="H53" s="14" t="n">
        <v>14</v>
      </c>
      <c r="I53" s="12" t="s">
        <v>36</v>
      </c>
      <c r="J53" s="12" t="s">
        <v>37</v>
      </c>
      <c r="K53" s="13" t="s">
        <v>361</v>
      </c>
      <c r="L53" s="13" t="s">
        <v>362</v>
      </c>
      <c r="M53" s="13" t="s">
        <v>357</v>
      </c>
      <c r="N53" s="13" t="s">
        <v>363</v>
      </c>
      <c r="O53" s="12" t="s">
        <v>42</v>
      </c>
    </row>
    <row r="54" customFormat="false" ht="48" hidden="false" customHeight="true" outlineLevel="0" collapsed="false">
      <c r="A54" s="8" t="s">
        <v>364</v>
      </c>
      <c r="B54" s="8" t="s">
        <v>352</v>
      </c>
      <c r="C54" s="8" t="s">
        <v>352</v>
      </c>
      <c r="D54" s="9" t="s">
        <v>365</v>
      </c>
      <c r="E54" s="9" t="s">
        <v>365</v>
      </c>
      <c r="F54" s="10" t="n">
        <v>1</v>
      </c>
      <c r="G54" s="11" t="n">
        <v>8500</v>
      </c>
      <c r="H54" s="10" t="n">
        <v>13</v>
      </c>
      <c r="I54" s="8" t="s">
        <v>36</v>
      </c>
      <c r="J54" s="8" t="s">
        <v>37</v>
      </c>
      <c r="K54" s="9" t="s">
        <v>366</v>
      </c>
      <c r="L54" s="9" t="s">
        <v>367</v>
      </c>
      <c r="M54" s="9" t="s">
        <v>357</v>
      </c>
      <c r="N54" s="9" t="s">
        <v>368</v>
      </c>
      <c r="O54" s="8" t="s">
        <v>42</v>
      </c>
    </row>
    <row r="55" customFormat="false" ht="48" hidden="false" customHeight="true" outlineLevel="0" collapsed="false">
      <c r="A55" s="16" t="s">
        <v>369</v>
      </c>
      <c r="B55" s="16" t="s">
        <v>352</v>
      </c>
      <c r="C55" s="16" t="s">
        <v>352</v>
      </c>
      <c r="D55" s="17" t="s">
        <v>370</v>
      </c>
      <c r="E55" s="17" t="s">
        <v>370</v>
      </c>
      <c r="F55" s="18" t="n">
        <v>1</v>
      </c>
      <c r="G55" s="19" t="n">
        <v>11000</v>
      </c>
      <c r="H55" s="18" t="n">
        <v>15</v>
      </c>
      <c r="I55" s="16" t="s">
        <v>70</v>
      </c>
      <c r="J55" s="16" t="s">
        <v>70</v>
      </c>
      <c r="K55" s="17" t="s">
        <v>371</v>
      </c>
      <c r="L55" s="17" t="s">
        <v>372</v>
      </c>
      <c r="M55" s="17" t="s">
        <v>373</v>
      </c>
      <c r="N55" s="17" t="s">
        <v>374</v>
      </c>
      <c r="O55" s="16" t="s">
        <v>42</v>
      </c>
    </row>
    <row r="56" customFormat="false" ht="48" hidden="false" customHeight="true" outlineLevel="0" collapsed="false">
      <c r="A56" s="16" t="s">
        <v>375</v>
      </c>
      <c r="B56" s="16" t="s">
        <v>376</v>
      </c>
      <c r="C56" s="16" t="s">
        <v>376</v>
      </c>
      <c r="D56" s="17" t="s">
        <v>377</v>
      </c>
      <c r="E56" s="17" t="s">
        <v>377</v>
      </c>
      <c r="F56" s="18" t="n">
        <v>1</v>
      </c>
      <c r="G56" s="19" t="n">
        <v>14500</v>
      </c>
      <c r="H56" s="18" t="n">
        <v>16</v>
      </c>
      <c r="I56" s="16" t="s">
        <v>70</v>
      </c>
      <c r="J56" s="16" t="s">
        <v>70</v>
      </c>
      <c r="K56" s="17" t="s">
        <v>378</v>
      </c>
      <c r="L56" s="17" t="s">
        <v>379</v>
      </c>
      <c r="M56" s="17" t="s">
        <v>380</v>
      </c>
      <c r="N56" s="17" t="s">
        <v>381</v>
      </c>
      <c r="O56" s="16" t="s">
        <v>42</v>
      </c>
    </row>
    <row r="57" customFormat="false" ht="48" hidden="false" customHeight="true" outlineLevel="0" collapsed="false">
      <c r="A57" s="16" t="s">
        <v>382</v>
      </c>
      <c r="B57" s="16" t="s">
        <v>376</v>
      </c>
      <c r="C57" s="16" t="s">
        <v>376</v>
      </c>
      <c r="D57" s="17" t="s">
        <v>383</v>
      </c>
      <c r="E57" s="17" t="s">
        <v>383</v>
      </c>
      <c r="F57" s="18" t="n">
        <v>1</v>
      </c>
      <c r="G57" s="19" t="n">
        <v>12500</v>
      </c>
      <c r="H57" s="18" t="n">
        <v>15</v>
      </c>
      <c r="I57" s="16" t="s">
        <v>70</v>
      </c>
      <c r="J57" s="16" t="s">
        <v>70</v>
      </c>
      <c r="K57" s="17" t="s">
        <v>384</v>
      </c>
      <c r="L57" s="17" t="s">
        <v>385</v>
      </c>
      <c r="M57" s="17" t="s">
        <v>386</v>
      </c>
      <c r="N57" s="17" t="s">
        <v>387</v>
      </c>
      <c r="O57" s="16" t="s">
        <v>42</v>
      </c>
    </row>
    <row r="58" customFormat="false" ht="48" hidden="false" customHeight="true" outlineLevel="0" collapsed="false">
      <c r="A58" s="16" t="s">
        <v>388</v>
      </c>
      <c r="B58" s="16" t="s">
        <v>376</v>
      </c>
      <c r="C58" s="16" t="s">
        <v>376</v>
      </c>
      <c r="D58" s="17" t="s">
        <v>389</v>
      </c>
      <c r="E58" s="17" t="s">
        <v>390</v>
      </c>
      <c r="F58" s="18" t="n">
        <v>1</v>
      </c>
      <c r="G58" s="19" t="n">
        <v>22000</v>
      </c>
      <c r="H58" s="18" t="n">
        <v>18</v>
      </c>
      <c r="I58" s="16" t="s">
        <v>70</v>
      </c>
      <c r="J58" s="16" t="s">
        <v>70</v>
      </c>
      <c r="K58" s="17" t="s">
        <v>391</v>
      </c>
      <c r="L58" s="17" t="s">
        <v>392</v>
      </c>
      <c r="M58" s="17" t="s">
        <v>393</v>
      </c>
      <c r="N58" s="17" t="s">
        <v>394</v>
      </c>
      <c r="O58" s="16" t="s">
        <v>42</v>
      </c>
    </row>
    <row r="59" customFormat="false" ht="48" hidden="false" customHeight="true" outlineLevel="0" collapsed="false">
      <c r="A59" s="16" t="s">
        <v>395</v>
      </c>
      <c r="B59" s="16" t="s">
        <v>396</v>
      </c>
      <c r="C59" s="16" t="s">
        <v>396</v>
      </c>
      <c r="D59" s="17" t="s">
        <v>397</v>
      </c>
      <c r="E59" s="17" t="s">
        <v>397</v>
      </c>
      <c r="F59" s="18" t="n">
        <v>1</v>
      </c>
      <c r="G59" s="19" t="n">
        <v>1000</v>
      </c>
      <c r="H59" s="18" t="n">
        <v>0</v>
      </c>
      <c r="I59" s="16" t="s">
        <v>70</v>
      </c>
      <c r="J59" s="16" t="s">
        <v>70</v>
      </c>
      <c r="K59" s="17" t="s">
        <v>398</v>
      </c>
      <c r="L59" s="17" t="s">
        <v>397</v>
      </c>
      <c r="M59" s="17" t="s">
        <v>399</v>
      </c>
      <c r="N59" s="17" t="s">
        <v>400</v>
      </c>
      <c r="O59" s="16" t="s">
        <v>42</v>
      </c>
    </row>
    <row r="60" customFormat="false" ht="48" hidden="false" customHeight="true" outlineLevel="0" collapsed="false">
      <c r="A60" s="16" t="s">
        <v>401</v>
      </c>
      <c r="B60" s="16" t="s">
        <v>396</v>
      </c>
      <c r="C60" s="16" t="s">
        <v>396</v>
      </c>
      <c r="D60" s="17" t="s">
        <v>402</v>
      </c>
      <c r="E60" s="17" t="s">
        <v>402</v>
      </c>
      <c r="F60" s="18" t="n">
        <v>1</v>
      </c>
      <c r="G60" s="19" t="n">
        <v>1500</v>
      </c>
      <c r="H60" s="18" t="n">
        <v>0</v>
      </c>
      <c r="I60" s="16" t="s">
        <v>70</v>
      </c>
      <c r="J60" s="16" t="s">
        <v>70</v>
      </c>
      <c r="K60" s="17" t="s">
        <v>403</v>
      </c>
      <c r="L60" s="17" t="s">
        <v>404</v>
      </c>
      <c r="M60" s="17" t="s">
        <v>405</v>
      </c>
      <c r="N60" s="17" t="s">
        <v>406</v>
      </c>
      <c r="O60" s="16" t="s">
        <v>42</v>
      </c>
    </row>
    <row r="61" customFormat="false" ht="48" hidden="false" customHeight="true" outlineLevel="0" collapsed="false">
      <c r="A61" s="16" t="s">
        <v>407</v>
      </c>
      <c r="B61" s="16" t="s">
        <v>396</v>
      </c>
      <c r="C61" s="16" t="s">
        <v>396</v>
      </c>
      <c r="D61" s="17" t="s">
        <v>408</v>
      </c>
      <c r="E61" s="17" t="s">
        <v>408</v>
      </c>
      <c r="F61" s="18" t="n">
        <v>1</v>
      </c>
      <c r="G61" s="19" t="n">
        <v>2000</v>
      </c>
      <c r="H61" s="18" t="n">
        <v>3</v>
      </c>
      <c r="I61" s="16" t="s">
        <v>70</v>
      </c>
      <c r="J61" s="16" t="s">
        <v>70</v>
      </c>
      <c r="K61" s="17" t="s">
        <v>409</v>
      </c>
      <c r="L61" s="17" t="s">
        <v>410</v>
      </c>
      <c r="M61" s="17" t="s">
        <v>411</v>
      </c>
      <c r="N61" s="17" t="s">
        <v>412</v>
      </c>
      <c r="O61" s="16" t="s">
        <v>42</v>
      </c>
    </row>
    <row r="62" customFormat="false" ht="48" hidden="false" customHeight="true" outlineLevel="0" collapsed="false">
      <c r="A62" s="16" t="s">
        <v>413</v>
      </c>
      <c r="B62" s="16" t="s">
        <v>396</v>
      </c>
      <c r="C62" s="16" t="s">
        <v>396</v>
      </c>
      <c r="D62" s="17" t="s">
        <v>414</v>
      </c>
      <c r="E62" s="17" t="s">
        <v>414</v>
      </c>
      <c r="F62" s="18" t="n">
        <v>1</v>
      </c>
      <c r="G62" s="19" t="n">
        <v>2500</v>
      </c>
      <c r="H62" s="18" t="n">
        <v>4</v>
      </c>
      <c r="I62" s="16" t="s">
        <v>70</v>
      </c>
      <c r="J62" s="16" t="s">
        <v>70</v>
      </c>
      <c r="K62" s="17" t="s">
        <v>415</v>
      </c>
      <c r="L62" s="17" t="s">
        <v>416</v>
      </c>
      <c r="M62" s="17" t="s">
        <v>417</v>
      </c>
      <c r="N62" s="17" t="s">
        <v>418</v>
      </c>
      <c r="O62" s="16" t="s">
        <v>42</v>
      </c>
    </row>
    <row r="63" customFormat="false" ht="48" hidden="false" customHeight="true" outlineLevel="0" collapsed="false">
      <c r="A63" s="16" t="s">
        <v>419</v>
      </c>
      <c r="B63" s="16" t="s">
        <v>396</v>
      </c>
      <c r="C63" s="16" t="s">
        <v>396</v>
      </c>
      <c r="D63" s="17" t="s">
        <v>420</v>
      </c>
      <c r="E63" s="17" t="s">
        <v>420</v>
      </c>
      <c r="F63" s="18" t="n">
        <v>1</v>
      </c>
      <c r="G63" s="19" t="n">
        <v>2500</v>
      </c>
      <c r="H63" s="18" t="n">
        <v>4</v>
      </c>
      <c r="I63" s="16" t="s">
        <v>70</v>
      </c>
      <c r="J63" s="16" t="s">
        <v>70</v>
      </c>
      <c r="K63" s="17" t="s">
        <v>421</v>
      </c>
      <c r="L63" s="17" t="s">
        <v>422</v>
      </c>
      <c r="M63" s="17" t="s">
        <v>423</v>
      </c>
      <c r="N63" s="17" t="s">
        <v>424</v>
      </c>
      <c r="O63" s="16" t="s">
        <v>42</v>
      </c>
    </row>
    <row r="64" customFormat="false" ht="48" hidden="false" customHeight="true" outlineLevel="0" collapsed="false">
      <c r="A64" s="16" t="s">
        <v>425</v>
      </c>
      <c r="B64" s="16" t="s">
        <v>396</v>
      </c>
      <c r="C64" s="16" t="s">
        <v>396</v>
      </c>
      <c r="D64" s="17" t="s">
        <v>426</v>
      </c>
      <c r="E64" s="17" t="s">
        <v>426</v>
      </c>
      <c r="F64" s="18" t="n">
        <v>1</v>
      </c>
      <c r="G64" s="19" t="n">
        <v>800</v>
      </c>
      <c r="H64" s="18" t="n">
        <v>1</v>
      </c>
      <c r="I64" s="16" t="s">
        <v>70</v>
      </c>
      <c r="J64" s="16" t="s">
        <v>70</v>
      </c>
      <c r="K64" s="17" t="s">
        <v>427</v>
      </c>
      <c r="L64" s="17" t="s">
        <v>428</v>
      </c>
      <c r="M64" s="17" t="s">
        <v>429</v>
      </c>
      <c r="N64" s="17" t="s">
        <v>430</v>
      </c>
      <c r="O64" s="16" t="s">
        <v>42</v>
      </c>
    </row>
    <row r="65" customFormat="false" ht="48" hidden="false" customHeight="true" outlineLevel="0" collapsed="false">
      <c r="A65" s="16" t="s">
        <v>431</v>
      </c>
      <c r="B65" s="16" t="s">
        <v>432</v>
      </c>
      <c r="C65" s="16" t="s">
        <v>432</v>
      </c>
      <c r="D65" s="17" t="s">
        <v>433</v>
      </c>
      <c r="E65" s="17" t="s">
        <v>433</v>
      </c>
      <c r="F65" s="18" t="n">
        <v>2</v>
      </c>
      <c r="G65" s="19" t="n">
        <v>4000</v>
      </c>
      <c r="H65" s="18" t="n">
        <v>0</v>
      </c>
      <c r="I65" s="16" t="s">
        <v>70</v>
      </c>
      <c r="J65" s="16" t="s">
        <v>70</v>
      </c>
      <c r="K65" s="17" t="s">
        <v>434</v>
      </c>
      <c r="L65" s="17" t="s">
        <v>435</v>
      </c>
      <c r="M65" s="17" t="s">
        <v>436</v>
      </c>
      <c r="N65" s="17" t="s">
        <v>437</v>
      </c>
      <c r="O65" s="16" t="s">
        <v>42</v>
      </c>
    </row>
    <row r="66" customFormat="false" ht="48" hidden="false" customHeight="true" outlineLevel="0" collapsed="false">
      <c r="A66" s="16" t="s">
        <v>438</v>
      </c>
      <c r="B66" s="16" t="s">
        <v>432</v>
      </c>
      <c r="C66" s="16" t="s">
        <v>432</v>
      </c>
      <c r="D66" s="17" t="s">
        <v>439</v>
      </c>
      <c r="E66" s="17" t="s">
        <v>439</v>
      </c>
      <c r="F66" s="18" t="n">
        <v>1</v>
      </c>
      <c r="G66" s="19" t="n">
        <v>5500</v>
      </c>
      <c r="H66" s="18" t="n">
        <v>0</v>
      </c>
      <c r="I66" s="16" t="s">
        <v>70</v>
      </c>
      <c r="J66" s="16" t="s">
        <v>70</v>
      </c>
      <c r="K66" s="17" t="s">
        <v>440</v>
      </c>
      <c r="L66" s="17" t="s">
        <v>441</v>
      </c>
      <c r="M66" s="17" t="s">
        <v>442</v>
      </c>
      <c r="N66" s="17" t="s">
        <v>443</v>
      </c>
      <c r="O66" s="16" t="s">
        <v>42</v>
      </c>
    </row>
  </sheetData>
  <autoFilter ref="A1:O66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&amp;LSete Sete — Cardápio Mestre</oddHeader>
    <oddFooter>&amp;LHashi incluídos no preço  ·  Luanda 12h–22h&amp;RPágina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62"/>
    <col collapsed="false" customWidth="true" hidden="false" outlineLevel="0" max="7" min="6" style="1" width="12"/>
    <col collapsed="false" customWidth="true" hidden="false" outlineLevel="0" max="8" min="8" style="1" width="48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21" t="s">
        <v>444</v>
      </c>
      <c r="B1" s="21" t="s">
        <v>445</v>
      </c>
      <c r="C1" s="21" t="s">
        <v>446</v>
      </c>
      <c r="D1" s="21" t="s">
        <v>24</v>
      </c>
      <c r="E1" s="21" t="s">
        <v>447</v>
      </c>
      <c r="F1" s="21" t="s">
        <v>25</v>
      </c>
      <c r="G1" s="21" t="s">
        <v>18</v>
      </c>
      <c r="H1" s="21" t="s">
        <v>448</v>
      </c>
      <c r="I1" s="21" t="s">
        <v>449</v>
      </c>
    </row>
    <row r="2" customFormat="false" ht="42" hidden="false" customHeight="true" outlineLevel="0" collapsed="false">
      <c r="A2" s="8" t="n">
        <v>1</v>
      </c>
      <c r="B2" s="9" t="s">
        <v>34</v>
      </c>
      <c r="C2" s="9" t="s">
        <v>35</v>
      </c>
      <c r="D2" s="11" t="n">
        <v>7800</v>
      </c>
      <c r="E2" s="9" t="s">
        <v>41</v>
      </c>
      <c r="F2" s="8" t="n">
        <v>9</v>
      </c>
      <c r="G2" s="8" t="s">
        <v>33</v>
      </c>
      <c r="H2" s="9" t="s">
        <v>450</v>
      </c>
      <c r="I2" s="8" t="s">
        <v>451</v>
      </c>
    </row>
    <row r="3" customFormat="false" ht="42" hidden="false" customHeight="true" outlineLevel="0" collapsed="false">
      <c r="A3" s="12" t="n">
        <v>2</v>
      </c>
      <c r="B3" s="13" t="s">
        <v>34</v>
      </c>
      <c r="C3" s="13" t="s">
        <v>44</v>
      </c>
      <c r="D3" s="15" t="n">
        <v>5500</v>
      </c>
      <c r="E3" s="13" t="s">
        <v>48</v>
      </c>
      <c r="F3" s="12" t="n">
        <v>9</v>
      </c>
      <c r="G3" s="12" t="s">
        <v>43</v>
      </c>
      <c r="H3" s="13" t="s">
        <v>450</v>
      </c>
      <c r="I3" s="12" t="s">
        <v>451</v>
      </c>
    </row>
    <row r="4" customFormat="false" ht="42" hidden="false" customHeight="true" outlineLevel="0" collapsed="false">
      <c r="A4" s="8" t="n">
        <v>3</v>
      </c>
      <c r="B4" s="9" t="s">
        <v>34</v>
      </c>
      <c r="C4" s="9" t="s">
        <v>50</v>
      </c>
      <c r="D4" s="11" t="n">
        <v>4500</v>
      </c>
      <c r="E4" s="9" t="s">
        <v>54</v>
      </c>
      <c r="F4" s="8" t="n">
        <v>10</v>
      </c>
      <c r="G4" s="8" t="s">
        <v>49</v>
      </c>
      <c r="H4" s="9" t="s">
        <v>450</v>
      </c>
      <c r="I4" s="8" t="s">
        <v>451</v>
      </c>
    </row>
    <row r="5" customFormat="false" ht="42" hidden="false" customHeight="true" outlineLevel="0" collapsed="false">
      <c r="A5" s="12" t="n">
        <v>4</v>
      </c>
      <c r="B5" s="13" t="s">
        <v>34</v>
      </c>
      <c r="C5" s="13" t="s">
        <v>56</v>
      </c>
      <c r="D5" s="15" t="n">
        <v>4500</v>
      </c>
      <c r="E5" s="13" t="s">
        <v>60</v>
      </c>
      <c r="F5" s="12" t="n">
        <v>10</v>
      </c>
      <c r="G5" s="12" t="s">
        <v>55</v>
      </c>
      <c r="H5" s="13" t="s">
        <v>450</v>
      </c>
      <c r="I5" s="12" t="s">
        <v>451</v>
      </c>
    </row>
    <row r="6" customFormat="false" ht="42" hidden="false" customHeight="true" outlineLevel="0" collapsed="false">
      <c r="A6" s="8" t="n">
        <v>5</v>
      </c>
      <c r="B6" s="9" t="s">
        <v>34</v>
      </c>
      <c r="C6" s="9" t="s">
        <v>62</v>
      </c>
      <c r="D6" s="11" t="n">
        <v>6000</v>
      </c>
      <c r="E6" s="9" t="s">
        <v>67</v>
      </c>
      <c r="F6" s="8" t="n">
        <v>15</v>
      </c>
      <c r="G6" s="8" t="s">
        <v>61</v>
      </c>
      <c r="H6" s="9" t="s">
        <v>450</v>
      </c>
      <c r="I6" s="8" t="s">
        <v>451</v>
      </c>
    </row>
    <row r="7" customFormat="false" ht="42" hidden="false" customHeight="true" outlineLevel="0" collapsed="false">
      <c r="A7" s="16" t="n">
        <v>6</v>
      </c>
      <c r="B7" s="17" t="s">
        <v>34</v>
      </c>
      <c r="C7" s="17" t="s">
        <v>69</v>
      </c>
      <c r="D7" s="19" t="n">
        <v>3500</v>
      </c>
      <c r="E7" s="17" t="s">
        <v>74</v>
      </c>
      <c r="F7" s="16" t="n">
        <v>6</v>
      </c>
      <c r="G7" s="16" t="s">
        <v>68</v>
      </c>
      <c r="H7" s="17" t="s">
        <v>450</v>
      </c>
      <c r="I7" s="16" t="s">
        <v>451</v>
      </c>
    </row>
    <row r="8" customFormat="false" ht="42" hidden="false" customHeight="true" outlineLevel="0" collapsed="false">
      <c r="A8" s="16" t="n">
        <v>7</v>
      </c>
      <c r="B8" s="17" t="s">
        <v>34</v>
      </c>
      <c r="C8" s="17" t="s">
        <v>76</v>
      </c>
      <c r="D8" s="19" t="n">
        <v>6500</v>
      </c>
      <c r="E8" s="17" t="s">
        <v>80</v>
      </c>
      <c r="F8" s="16" t="n">
        <v>12</v>
      </c>
      <c r="G8" s="16" t="s">
        <v>75</v>
      </c>
      <c r="H8" s="17" t="s">
        <v>450</v>
      </c>
      <c r="I8" s="16" t="s">
        <v>451</v>
      </c>
    </row>
    <row r="9" customFormat="false" ht="42" hidden="false" customHeight="true" outlineLevel="0" collapsed="false">
      <c r="A9" s="12" t="n">
        <v>8</v>
      </c>
      <c r="B9" s="13" t="s">
        <v>82</v>
      </c>
      <c r="C9" s="13" t="s">
        <v>84</v>
      </c>
      <c r="D9" s="15" t="n">
        <v>24000</v>
      </c>
      <c r="E9" s="13" t="s">
        <v>89</v>
      </c>
      <c r="F9" s="12" t="n">
        <v>15</v>
      </c>
      <c r="G9" s="12" t="s">
        <v>81</v>
      </c>
      <c r="H9" s="13" t="s">
        <v>450</v>
      </c>
      <c r="I9" s="12" t="s">
        <v>451</v>
      </c>
    </row>
    <row r="10" customFormat="false" ht="42" hidden="false" customHeight="true" outlineLevel="0" collapsed="false">
      <c r="A10" s="8" t="n">
        <v>9</v>
      </c>
      <c r="B10" s="9" t="s">
        <v>82</v>
      </c>
      <c r="C10" s="9" t="s">
        <v>92</v>
      </c>
      <c r="D10" s="11" t="n">
        <v>39000</v>
      </c>
      <c r="E10" s="9" t="s">
        <v>95</v>
      </c>
      <c r="F10" s="8" t="n">
        <v>20</v>
      </c>
      <c r="G10" s="8" t="s">
        <v>90</v>
      </c>
      <c r="H10" s="9" t="s">
        <v>450</v>
      </c>
      <c r="I10" s="8" t="s">
        <v>451</v>
      </c>
    </row>
    <row r="11" customFormat="false" ht="42" hidden="false" customHeight="true" outlineLevel="0" collapsed="false">
      <c r="A11" s="12" t="n">
        <v>10</v>
      </c>
      <c r="B11" s="13" t="s">
        <v>82</v>
      </c>
      <c r="C11" s="13" t="s">
        <v>98</v>
      </c>
      <c r="D11" s="15" t="n">
        <v>48000</v>
      </c>
      <c r="E11" s="13" t="s">
        <v>102</v>
      </c>
      <c r="F11" s="12" t="n">
        <v>25</v>
      </c>
      <c r="G11" s="12" t="s">
        <v>96</v>
      </c>
      <c r="H11" s="13" t="s">
        <v>450</v>
      </c>
      <c r="I11" s="12" t="s">
        <v>451</v>
      </c>
    </row>
    <row r="12" customFormat="false" ht="42" hidden="false" customHeight="true" outlineLevel="0" collapsed="false">
      <c r="A12" s="8" t="n">
        <v>11</v>
      </c>
      <c r="B12" s="9" t="s">
        <v>82</v>
      </c>
      <c r="C12" s="9" t="s">
        <v>105</v>
      </c>
      <c r="D12" s="11" t="n">
        <v>67500</v>
      </c>
      <c r="E12" s="9" t="s">
        <v>110</v>
      </c>
      <c r="F12" s="8" t="n">
        <v>35</v>
      </c>
      <c r="G12" s="8" t="s">
        <v>103</v>
      </c>
      <c r="H12" s="9" t="s">
        <v>450</v>
      </c>
      <c r="I12" s="8" t="s">
        <v>451</v>
      </c>
    </row>
    <row r="13" customFormat="false" ht="42" hidden="false" customHeight="true" outlineLevel="0" collapsed="false">
      <c r="A13" s="12" t="n">
        <v>12</v>
      </c>
      <c r="B13" s="13" t="s">
        <v>112</v>
      </c>
      <c r="C13" s="13" t="s">
        <v>114</v>
      </c>
      <c r="D13" s="15" t="n">
        <v>18000</v>
      </c>
      <c r="E13" s="13" t="s">
        <v>118</v>
      </c>
      <c r="F13" s="12" t="n">
        <v>15</v>
      </c>
      <c r="G13" s="12" t="s">
        <v>111</v>
      </c>
      <c r="H13" s="13" t="s">
        <v>450</v>
      </c>
      <c r="I13" s="12" t="s">
        <v>451</v>
      </c>
    </row>
    <row r="14" customFormat="false" ht="42" hidden="false" customHeight="true" outlineLevel="0" collapsed="false">
      <c r="A14" s="8" t="n">
        <v>13</v>
      </c>
      <c r="B14" s="9" t="s">
        <v>112</v>
      </c>
      <c r="C14" s="9" t="s">
        <v>121</v>
      </c>
      <c r="D14" s="11" t="n">
        <v>29500</v>
      </c>
      <c r="E14" s="9" t="s">
        <v>124</v>
      </c>
      <c r="F14" s="8" t="n">
        <v>20</v>
      </c>
      <c r="G14" s="8" t="s">
        <v>119</v>
      </c>
      <c r="H14" s="9" t="s">
        <v>450</v>
      </c>
      <c r="I14" s="8" t="s">
        <v>451</v>
      </c>
    </row>
    <row r="15" customFormat="false" ht="42" hidden="false" customHeight="true" outlineLevel="0" collapsed="false">
      <c r="A15" s="12" t="n">
        <v>14</v>
      </c>
      <c r="B15" s="13" t="s">
        <v>112</v>
      </c>
      <c r="C15" s="13" t="s">
        <v>127</v>
      </c>
      <c r="D15" s="15" t="n">
        <v>36000</v>
      </c>
      <c r="E15" s="13" t="s">
        <v>129</v>
      </c>
      <c r="F15" s="12" t="n">
        <v>25</v>
      </c>
      <c r="G15" s="12" t="s">
        <v>125</v>
      </c>
      <c r="H15" s="13" t="s">
        <v>450</v>
      </c>
      <c r="I15" s="12" t="s">
        <v>451</v>
      </c>
    </row>
    <row r="16" customFormat="false" ht="42" hidden="false" customHeight="true" outlineLevel="0" collapsed="false">
      <c r="A16" s="8" t="n">
        <v>15</v>
      </c>
      <c r="B16" s="9" t="s">
        <v>112</v>
      </c>
      <c r="C16" s="9" t="s">
        <v>132</v>
      </c>
      <c r="D16" s="11" t="n">
        <v>50000</v>
      </c>
      <c r="E16" s="9" t="s">
        <v>135</v>
      </c>
      <c r="F16" s="8" t="n">
        <v>35</v>
      </c>
      <c r="G16" s="8" t="s">
        <v>130</v>
      </c>
      <c r="H16" s="9" t="s">
        <v>450</v>
      </c>
      <c r="I16" s="8" t="s">
        <v>451</v>
      </c>
    </row>
    <row r="17" customFormat="false" ht="42" hidden="false" customHeight="true" outlineLevel="0" collapsed="false">
      <c r="A17" s="16" t="n">
        <v>16</v>
      </c>
      <c r="B17" s="17" t="s">
        <v>137</v>
      </c>
      <c r="C17" s="17" t="s">
        <v>139</v>
      </c>
      <c r="D17" s="19" t="n">
        <v>42000</v>
      </c>
      <c r="E17" s="17" t="s">
        <v>143</v>
      </c>
      <c r="F17" s="16" t="n">
        <v>22</v>
      </c>
      <c r="G17" s="16" t="s">
        <v>136</v>
      </c>
      <c r="H17" s="17" t="s">
        <v>450</v>
      </c>
      <c r="I17" s="16" t="s">
        <v>451</v>
      </c>
    </row>
    <row r="18" customFormat="false" ht="42" hidden="false" customHeight="true" outlineLevel="0" collapsed="false">
      <c r="A18" s="16" t="n">
        <v>17</v>
      </c>
      <c r="B18" s="17" t="s">
        <v>137</v>
      </c>
      <c r="C18" s="17" t="s">
        <v>146</v>
      </c>
      <c r="D18" s="19" t="n">
        <v>28000</v>
      </c>
      <c r="E18" s="17" t="s">
        <v>150</v>
      </c>
      <c r="F18" s="16" t="n">
        <v>18</v>
      </c>
      <c r="G18" s="16" t="s">
        <v>144</v>
      </c>
      <c r="H18" s="17" t="s">
        <v>450</v>
      </c>
      <c r="I18" s="16" t="s">
        <v>451</v>
      </c>
    </row>
    <row r="19" customFormat="false" ht="42" hidden="false" customHeight="true" outlineLevel="0" collapsed="false">
      <c r="A19" s="16" t="n">
        <v>18</v>
      </c>
      <c r="B19" s="17" t="s">
        <v>137</v>
      </c>
      <c r="C19" s="17" t="s">
        <v>153</v>
      </c>
      <c r="D19" s="19" t="n">
        <v>44000</v>
      </c>
      <c r="E19" s="17" t="s">
        <v>157</v>
      </c>
      <c r="F19" s="16" t="n">
        <v>24</v>
      </c>
      <c r="G19" s="16" t="s">
        <v>151</v>
      </c>
      <c r="H19" s="17" t="s">
        <v>450</v>
      </c>
      <c r="I19" s="16" t="s">
        <v>451</v>
      </c>
    </row>
    <row r="20" customFormat="false" ht="42" hidden="false" customHeight="true" outlineLevel="0" collapsed="false">
      <c r="A20" s="16" t="n">
        <v>19</v>
      </c>
      <c r="B20" s="17" t="s">
        <v>137</v>
      </c>
      <c r="C20" s="17" t="s">
        <v>160</v>
      </c>
      <c r="D20" s="19" t="n">
        <v>85000</v>
      </c>
      <c r="E20" s="17" t="s">
        <v>164</v>
      </c>
      <c r="F20" s="16" t="n">
        <v>45</v>
      </c>
      <c r="G20" s="16" t="s">
        <v>158</v>
      </c>
      <c r="H20" s="17" t="s">
        <v>450</v>
      </c>
      <c r="I20" s="16" t="s">
        <v>451</v>
      </c>
    </row>
    <row r="21" customFormat="false" ht="42" hidden="false" customHeight="true" outlineLevel="0" collapsed="false">
      <c r="A21" s="12" t="n">
        <v>20</v>
      </c>
      <c r="B21" s="13" t="s">
        <v>166</v>
      </c>
      <c r="C21" s="13" t="s">
        <v>167</v>
      </c>
      <c r="D21" s="15" t="n">
        <v>4500</v>
      </c>
      <c r="E21" s="13" t="s">
        <v>171</v>
      </c>
      <c r="F21" s="12" t="n">
        <v>6</v>
      </c>
      <c r="G21" s="12" t="s">
        <v>165</v>
      </c>
      <c r="H21" s="13" t="s">
        <v>450</v>
      </c>
      <c r="I21" s="12" t="s">
        <v>451</v>
      </c>
    </row>
    <row r="22" customFormat="false" ht="42" hidden="false" customHeight="true" outlineLevel="0" collapsed="false">
      <c r="A22" s="8" t="n">
        <v>21</v>
      </c>
      <c r="B22" s="9" t="s">
        <v>166</v>
      </c>
      <c r="C22" s="9" t="s">
        <v>173</v>
      </c>
      <c r="D22" s="11" t="n">
        <v>4500</v>
      </c>
      <c r="E22" s="9" t="s">
        <v>177</v>
      </c>
      <c r="F22" s="8" t="n">
        <v>6</v>
      </c>
      <c r="G22" s="8" t="s">
        <v>172</v>
      </c>
      <c r="H22" s="9" t="s">
        <v>450</v>
      </c>
      <c r="I22" s="8" t="s">
        <v>451</v>
      </c>
    </row>
    <row r="23" customFormat="false" ht="42" hidden="false" customHeight="true" outlineLevel="0" collapsed="false">
      <c r="A23" s="12" t="n">
        <v>22</v>
      </c>
      <c r="B23" s="13" t="s">
        <v>166</v>
      </c>
      <c r="C23" s="13" t="s">
        <v>179</v>
      </c>
      <c r="D23" s="15" t="n">
        <v>5500</v>
      </c>
      <c r="E23" s="13" t="s">
        <v>183</v>
      </c>
      <c r="F23" s="12" t="n">
        <v>7</v>
      </c>
      <c r="G23" s="12" t="s">
        <v>178</v>
      </c>
      <c r="H23" s="13" t="s">
        <v>450</v>
      </c>
      <c r="I23" s="12" t="s">
        <v>451</v>
      </c>
    </row>
    <row r="24" customFormat="false" ht="42" hidden="false" customHeight="true" outlineLevel="0" collapsed="false">
      <c r="A24" s="16" t="n">
        <v>23</v>
      </c>
      <c r="B24" s="17" t="s">
        <v>166</v>
      </c>
      <c r="C24" s="17" t="s">
        <v>185</v>
      </c>
      <c r="D24" s="19" t="n">
        <v>5500</v>
      </c>
      <c r="E24" s="17" t="s">
        <v>189</v>
      </c>
      <c r="F24" s="16" t="n">
        <v>7</v>
      </c>
      <c r="G24" s="16" t="s">
        <v>184</v>
      </c>
      <c r="H24" s="17" t="s">
        <v>450</v>
      </c>
      <c r="I24" s="16" t="s">
        <v>451</v>
      </c>
    </row>
    <row r="25" customFormat="false" ht="42" hidden="false" customHeight="true" outlineLevel="0" collapsed="false">
      <c r="A25" s="16" t="n">
        <v>24</v>
      </c>
      <c r="B25" s="17" t="s">
        <v>166</v>
      </c>
      <c r="C25" s="17" t="s">
        <v>191</v>
      </c>
      <c r="D25" s="19" t="n">
        <v>5800</v>
      </c>
      <c r="E25" s="17" t="s">
        <v>195</v>
      </c>
      <c r="F25" s="16" t="n">
        <v>8</v>
      </c>
      <c r="G25" s="16" t="s">
        <v>190</v>
      </c>
      <c r="H25" s="17" t="s">
        <v>450</v>
      </c>
      <c r="I25" s="16" t="s">
        <v>451</v>
      </c>
    </row>
    <row r="26" customFormat="false" ht="42" hidden="false" customHeight="true" outlineLevel="0" collapsed="false">
      <c r="A26" s="8" t="n">
        <v>25</v>
      </c>
      <c r="B26" s="9" t="s">
        <v>197</v>
      </c>
      <c r="C26" s="9" t="s">
        <v>198</v>
      </c>
      <c r="D26" s="11" t="n">
        <v>11000</v>
      </c>
      <c r="E26" s="9" t="s">
        <v>202</v>
      </c>
      <c r="F26" s="8" t="n">
        <v>12</v>
      </c>
      <c r="G26" s="8" t="s">
        <v>196</v>
      </c>
      <c r="H26" s="9" t="s">
        <v>450</v>
      </c>
      <c r="I26" s="8" t="s">
        <v>451</v>
      </c>
    </row>
    <row r="27" customFormat="false" ht="42" hidden="false" customHeight="true" outlineLevel="0" collapsed="false">
      <c r="A27" s="12" t="n">
        <v>26</v>
      </c>
      <c r="B27" s="13" t="s">
        <v>197</v>
      </c>
      <c r="C27" s="13" t="s">
        <v>204</v>
      </c>
      <c r="D27" s="15" t="n">
        <v>12000</v>
      </c>
      <c r="E27" s="13" t="s">
        <v>208</v>
      </c>
      <c r="F27" s="12" t="n">
        <v>12</v>
      </c>
      <c r="G27" s="12" t="s">
        <v>203</v>
      </c>
      <c r="H27" s="13" t="s">
        <v>450</v>
      </c>
      <c r="I27" s="12" t="s">
        <v>451</v>
      </c>
    </row>
    <row r="28" customFormat="false" ht="42" hidden="false" customHeight="true" outlineLevel="0" collapsed="false">
      <c r="A28" s="8" t="n">
        <v>27</v>
      </c>
      <c r="B28" s="9" t="s">
        <v>197</v>
      </c>
      <c r="C28" s="9" t="s">
        <v>210</v>
      </c>
      <c r="D28" s="11" t="n">
        <v>9500</v>
      </c>
      <c r="E28" s="9" t="s">
        <v>214</v>
      </c>
      <c r="F28" s="8" t="n">
        <v>12</v>
      </c>
      <c r="G28" s="8" t="s">
        <v>209</v>
      </c>
      <c r="H28" s="9" t="s">
        <v>450</v>
      </c>
      <c r="I28" s="8" t="s">
        <v>451</v>
      </c>
    </row>
    <row r="29" customFormat="false" ht="42" hidden="false" customHeight="true" outlineLevel="0" collapsed="false">
      <c r="A29" s="12" t="n">
        <v>28</v>
      </c>
      <c r="B29" s="13" t="s">
        <v>197</v>
      </c>
      <c r="C29" s="13" t="s">
        <v>216</v>
      </c>
      <c r="D29" s="15" t="n">
        <v>9000</v>
      </c>
      <c r="E29" s="13" t="s">
        <v>220</v>
      </c>
      <c r="F29" s="12" t="n">
        <v>12</v>
      </c>
      <c r="G29" s="12" t="s">
        <v>215</v>
      </c>
      <c r="H29" s="13" t="s">
        <v>450</v>
      </c>
      <c r="I29" s="12" t="s">
        <v>451</v>
      </c>
    </row>
    <row r="30" customFormat="false" ht="42" hidden="false" customHeight="true" outlineLevel="0" collapsed="false">
      <c r="A30" s="8" t="n">
        <v>29</v>
      </c>
      <c r="B30" s="9" t="s">
        <v>197</v>
      </c>
      <c r="C30" s="9" t="s">
        <v>222</v>
      </c>
      <c r="D30" s="11" t="n">
        <v>12000</v>
      </c>
      <c r="E30" s="9" t="s">
        <v>226</v>
      </c>
      <c r="F30" s="8" t="n">
        <v>13</v>
      </c>
      <c r="G30" s="8" t="s">
        <v>221</v>
      </c>
      <c r="H30" s="9" t="s">
        <v>450</v>
      </c>
      <c r="I30" s="8" t="s">
        <v>451</v>
      </c>
    </row>
    <row r="31" customFormat="false" ht="42" hidden="false" customHeight="true" outlineLevel="0" collapsed="false">
      <c r="A31" s="16" t="n">
        <v>30</v>
      </c>
      <c r="B31" s="17" t="s">
        <v>197</v>
      </c>
      <c r="C31" s="17" t="s">
        <v>228</v>
      </c>
      <c r="D31" s="19" t="n">
        <v>11500</v>
      </c>
      <c r="E31" s="17" t="s">
        <v>232</v>
      </c>
      <c r="F31" s="16" t="n">
        <v>13</v>
      </c>
      <c r="G31" s="16" t="s">
        <v>227</v>
      </c>
      <c r="H31" s="17" t="s">
        <v>450</v>
      </c>
      <c r="I31" s="16" t="s">
        <v>451</v>
      </c>
    </row>
    <row r="32" customFormat="false" ht="42" hidden="false" customHeight="true" outlineLevel="0" collapsed="false">
      <c r="A32" s="8" t="n">
        <v>31</v>
      </c>
      <c r="B32" s="9" t="s">
        <v>234</v>
      </c>
      <c r="C32" s="9" t="s">
        <v>235</v>
      </c>
      <c r="D32" s="11" t="n">
        <v>12000</v>
      </c>
      <c r="E32" s="9" t="s">
        <v>239</v>
      </c>
      <c r="F32" s="8" t="n">
        <v>10</v>
      </c>
      <c r="G32" s="8" t="s">
        <v>233</v>
      </c>
      <c r="H32" s="9" t="s">
        <v>450</v>
      </c>
      <c r="I32" s="8" t="s">
        <v>451</v>
      </c>
    </row>
    <row r="33" customFormat="false" ht="42" hidden="false" customHeight="true" outlineLevel="0" collapsed="false">
      <c r="A33" s="12" t="n">
        <v>32</v>
      </c>
      <c r="B33" s="13" t="s">
        <v>234</v>
      </c>
      <c r="C33" s="13" t="s">
        <v>241</v>
      </c>
      <c r="D33" s="15" t="n">
        <v>6500</v>
      </c>
      <c r="E33" s="13" t="s">
        <v>245</v>
      </c>
      <c r="F33" s="12" t="n">
        <v>8</v>
      </c>
      <c r="G33" s="12" t="s">
        <v>240</v>
      </c>
      <c r="H33" s="13" t="s">
        <v>450</v>
      </c>
      <c r="I33" s="12" t="s">
        <v>451</v>
      </c>
    </row>
    <row r="34" customFormat="false" ht="42" hidden="false" customHeight="true" outlineLevel="0" collapsed="false">
      <c r="A34" s="8" t="n">
        <v>33</v>
      </c>
      <c r="B34" s="9" t="s">
        <v>234</v>
      </c>
      <c r="C34" s="9" t="s">
        <v>247</v>
      </c>
      <c r="D34" s="11" t="n">
        <v>6000</v>
      </c>
      <c r="E34" s="9" t="s">
        <v>251</v>
      </c>
      <c r="F34" s="8" t="n">
        <v>8</v>
      </c>
      <c r="G34" s="8" t="s">
        <v>246</v>
      </c>
      <c r="H34" s="9" t="s">
        <v>450</v>
      </c>
      <c r="I34" s="8" t="s">
        <v>451</v>
      </c>
    </row>
    <row r="35" customFormat="false" ht="42" hidden="false" customHeight="true" outlineLevel="0" collapsed="false">
      <c r="A35" s="12" t="n">
        <v>34</v>
      </c>
      <c r="B35" s="13" t="s">
        <v>234</v>
      </c>
      <c r="C35" s="13" t="s">
        <v>253</v>
      </c>
      <c r="D35" s="15" t="n">
        <v>5500</v>
      </c>
      <c r="E35" s="13" t="s">
        <v>257</v>
      </c>
      <c r="F35" s="12" t="n">
        <v>8</v>
      </c>
      <c r="G35" s="12" t="s">
        <v>252</v>
      </c>
      <c r="H35" s="13" t="s">
        <v>450</v>
      </c>
      <c r="I35" s="12" t="s">
        <v>451</v>
      </c>
    </row>
    <row r="36" customFormat="false" ht="42" hidden="false" customHeight="true" outlineLevel="0" collapsed="false">
      <c r="A36" s="8" t="n">
        <v>35</v>
      </c>
      <c r="B36" s="9" t="s">
        <v>234</v>
      </c>
      <c r="C36" s="9" t="s">
        <v>259</v>
      </c>
      <c r="D36" s="11" t="n">
        <v>7000</v>
      </c>
      <c r="E36" s="9" t="s">
        <v>263</v>
      </c>
      <c r="F36" s="8" t="n">
        <v>9</v>
      </c>
      <c r="G36" s="8" t="s">
        <v>258</v>
      </c>
      <c r="H36" s="9" t="s">
        <v>450</v>
      </c>
      <c r="I36" s="8" t="s">
        <v>451</v>
      </c>
    </row>
    <row r="37" customFormat="false" ht="42" hidden="false" customHeight="true" outlineLevel="0" collapsed="false">
      <c r="A37" s="12" t="n">
        <v>36</v>
      </c>
      <c r="B37" s="13" t="s">
        <v>265</v>
      </c>
      <c r="C37" s="13" t="s">
        <v>266</v>
      </c>
      <c r="D37" s="15" t="n">
        <v>10300</v>
      </c>
      <c r="E37" s="13" t="s">
        <v>270</v>
      </c>
      <c r="F37" s="12" t="n">
        <v>10</v>
      </c>
      <c r="G37" s="12" t="s">
        <v>264</v>
      </c>
      <c r="H37" s="13" t="s">
        <v>450</v>
      </c>
      <c r="I37" s="12" t="s">
        <v>451</v>
      </c>
    </row>
    <row r="38" customFormat="false" ht="42" hidden="false" customHeight="true" outlineLevel="0" collapsed="false">
      <c r="A38" s="8" t="n">
        <v>37</v>
      </c>
      <c r="B38" s="9" t="s">
        <v>265</v>
      </c>
      <c r="C38" s="9" t="s">
        <v>272</v>
      </c>
      <c r="D38" s="11" t="n">
        <v>10100</v>
      </c>
      <c r="E38" s="9" t="s">
        <v>275</v>
      </c>
      <c r="F38" s="8" t="n">
        <v>10</v>
      </c>
      <c r="G38" s="8" t="s">
        <v>271</v>
      </c>
      <c r="H38" s="9" t="s">
        <v>450</v>
      </c>
      <c r="I38" s="8" t="s">
        <v>451</v>
      </c>
    </row>
    <row r="39" customFormat="false" ht="42" hidden="false" customHeight="true" outlineLevel="0" collapsed="false">
      <c r="A39" s="12" t="n">
        <v>38</v>
      </c>
      <c r="B39" s="13" t="s">
        <v>265</v>
      </c>
      <c r="C39" s="13" t="s">
        <v>277</v>
      </c>
      <c r="D39" s="15" t="n">
        <v>10500</v>
      </c>
      <c r="E39" s="13" t="s">
        <v>281</v>
      </c>
      <c r="F39" s="12" t="n">
        <v>10</v>
      </c>
      <c r="G39" s="12" t="s">
        <v>276</v>
      </c>
      <c r="H39" s="13" t="s">
        <v>450</v>
      </c>
      <c r="I39" s="12" t="s">
        <v>451</v>
      </c>
    </row>
    <row r="40" customFormat="false" ht="42" hidden="false" customHeight="true" outlineLevel="0" collapsed="false">
      <c r="A40" s="8" t="n">
        <v>39</v>
      </c>
      <c r="B40" s="9" t="s">
        <v>265</v>
      </c>
      <c r="C40" s="9" t="s">
        <v>283</v>
      </c>
      <c r="D40" s="11" t="n">
        <v>10300</v>
      </c>
      <c r="E40" s="9" t="s">
        <v>286</v>
      </c>
      <c r="F40" s="8" t="n">
        <v>10</v>
      </c>
      <c r="G40" s="8" t="s">
        <v>282</v>
      </c>
      <c r="H40" s="9" t="s">
        <v>450</v>
      </c>
      <c r="I40" s="8" t="s">
        <v>451</v>
      </c>
    </row>
    <row r="41" customFormat="false" ht="42" hidden="false" customHeight="true" outlineLevel="0" collapsed="false">
      <c r="A41" s="12" t="n">
        <v>40</v>
      </c>
      <c r="B41" s="13" t="s">
        <v>265</v>
      </c>
      <c r="C41" s="13" t="s">
        <v>288</v>
      </c>
      <c r="D41" s="15" t="n">
        <v>13000</v>
      </c>
      <c r="E41" s="13" t="s">
        <v>292</v>
      </c>
      <c r="F41" s="12" t="n">
        <v>12</v>
      </c>
      <c r="G41" s="12" t="s">
        <v>287</v>
      </c>
      <c r="H41" s="13" t="s">
        <v>450</v>
      </c>
      <c r="I41" s="12" t="s">
        <v>451</v>
      </c>
    </row>
    <row r="42" customFormat="false" ht="42" hidden="false" customHeight="true" outlineLevel="0" collapsed="false">
      <c r="A42" s="16" t="n">
        <v>41</v>
      </c>
      <c r="B42" s="17" t="s">
        <v>265</v>
      </c>
      <c r="C42" s="17" t="s">
        <v>294</v>
      </c>
      <c r="D42" s="19" t="n">
        <v>10800</v>
      </c>
      <c r="E42" s="17" t="s">
        <v>298</v>
      </c>
      <c r="F42" s="16" t="n">
        <v>10</v>
      </c>
      <c r="G42" s="16" t="s">
        <v>293</v>
      </c>
      <c r="H42" s="17" t="s">
        <v>450</v>
      </c>
      <c r="I42" s="16" t="s">
        <v>451</v>
      </c>
    </row>
    <row r="43" customFormat="false" ht="42" hidden="false" customHeight="true" outlineLevel="0" collapsed="false">
      <c r="A43" s="16" t="n">
        <v>42</v>
      </c>
      <c r="B43" s="17" t="s">
        <v>265</v>
      </c>
      <c r="C43" s="17" t="s">
        <v>300</v>
      </c>
      <c r="D43" s="19" t="n">
        <v>11200</v>
      </c>
      <c r="E43" s="17" t="s">
        <v>303</v>
      </c>
      <c r="F43" s="16" t="n">
        <v>11</v>
      </c>
      <c r="G43" s="16" t="s">
        <v>299</v>
      </c>
      <c r="H43" s="17" t="s">
        <v>450</v>
      </c>
      <c r="I43" s="16" t="s">
        <v>451</v>
      </c>
    </row>
    <row r="44" customFormat="false" ht="42" hidden="false" customHeight="true" outlineLevel="0" collapsed="false">
      <c r="A44" s="8" t="n">
        <v>43</v>
      </c>
      <c r="B44" s="9" t="s">
        <v>305</v>
      </c>
      <c r="C44" s="9" t="s">
        <v>306</v>
      </c>
      <c r="D44" s="11" t="n">
        <v>3500</v>
      </c>
      <c r="E44" s="9" t="s">
        <v>310</v>
      </c>
      <c r="F44" s="8" t="n">
        <v>5</v>
      </c>
      <c r="G44" s="8" t="s">
        <v>304</v>
      </c>
      <c r="H44" s="9" t="s">
        <v>450</v>
      </c>
      <c r="I44" s="8" t="s">
        <v>451</v>
      </c>
    </row>
    <row r="45" customFormat="false" ht="42" hidden="false" customHeight="true" outlineLevel="0" collapsed="false">
      <c r="A45" s="12" t="n">
        <v>44</v>
      </c>
      <c r="B45" s="13" t="s">
        <v>305</v>
      </c>
      <c r="C45" s="13" t="s">
        <v>312</v>
      </c>
      <c r="D45" s="15" t="n">
        <v>3800</v>
      </c>
      <c r="E45" s="13" t="s">
        <v>315</v>
      </c>
      <c r="F45" s="12" t="n">
        <v>5</v>
      </c>
      <c r="G45" s="12" t="s">
        <v>311</v>
      </c>
      <c r="H45" s="13" t="s">
        <v>450</v>
      </c>
      <c r="I45" s="12" t="s">
        <v>451</v>
      </c>
    </row>
    <row r="46" customFormat="false" ht="42" hidden="false" customHeight="true" outlineLevel="0" collapsed="false">
      <c r="A46" s="8" t="n">
        <v>45</v>
      </c>
      <c r="B46" s="9" t="s">
        <v>305</v>
      </c>
      <c r="C46" s="9" t="s">
        <v>317</v>
      </c>
      <c r="D46" s="11" t="n">
        <v>4000</v>
      </c>
      <c r="E46" s="9" t="s">
        <v>320</v>
      </c>
      <c r="F46" s="8" t="n">
        <v>5</v>
      </c>
      <c r="G46" s="8" t="s">
        <v>316</v>
      </c>
      <c r="H46" s="9" t="s">
        <v>450</v>
      </c>
      <c r="I46" s="8" t="s">
        <v>451</v>
      </c>
    </row>
    <row r="47" customFormat="false" ht="42" hidden="false" customHeight="true" outlineLevel="0" collapsed="false">
      <c r="A47" s="16" t="n">
        <v>46</v>
      </c>
      <c r="B47" s="17" t="s">
        <v>305</v>
      </c>
      <c r="C47" s="17" t="s">
        <v>322</v>
      </c>
      <c r="D47" s="19" t="n">
        <v>4500</v>
      </c>
      <c r="E47" s="17" t="s">
        <v>326</v>
      </c>
      <c r="F47" s="16" t="n">
        <v>6</v>
      </c>
      <c r="G47" s="16" t="s">
        <v>321</v>
      </c>
      <c r="H47" s="17" t="s">
        <v>450</v>
      </c>
      <c r="I47" s="16" t="s">
        <v>451</v>
      </c>
    </row>
    <row r="48" customFormat="false" ht="42" hidden="false" customHeight="true" outlineLevel="0" collapsed="false">
      <c r="A48" s="8" t="n">
        <v>47</v>
      </c>
      <c r="B48" s="9" t="s">
        <v>328</v>
      </c>
      <c r="C48" s="9" t="s">
        <v>329</v>
      </c>
      <c r="D48" s="11" t="n">
        <v>6500</v>
      </c>
      <c r="E48" s="9" t="s">
        <v>333</v>
      </c>
      <c r="F48" s="8" t="n">
        <v>7</v>
      </c>
      <c r="G48" s="8" t="s">
        <v>327</v>
      </c>
      <c r="H48" s="9" t="s">
        <v>450</v>
      </c>
      <c r="I48" s="8" t="s">
        <v>451</v>
      </c>
    </row>
    <row r="49" customFormat="false" ht="42" hidden="false" customHeight="true" outlineLevel="0" collapsed="false">
      <c r="A49" s="12" t="n">
        <v>48</v>
      </c>
      <c r="B49" s="13" t="s">
        <v>328</v>
      </c>
      <c r="C49" s="13" t="s">
        <v>335</v>
      </c>
      <c r="D49" s="15" t="n">
        <v>6800</v>
      </c>
      <c r="E49" s="13" t="s">
        <v>338</v>
      </c>
      <c r="F49" s="12" t="n">
        <v>7</v>
      </c>
      <c r="G49" s="12" t="s">
        <v>334</v>
      </c>
      <c r="H49" s="13" t="s">
        <v>450</v>
      </c>
      <c r="I49" s="12" t="s">
        <v>451</v>
      </c>
    </row>
    <row r="50" customFormat="false" ht="42" hidden="false" customHeight="true" outlineLevel="0" collapsed="false">
      <c r="A50" s="8" t="n">
        <v>49</v>
      </c>
      <c r="B50" s="9" t="s">
        <v>328</v>
      </c>
      <c r="C50" s="9" t="s">
        <v>340</v>
      </c>
      <c r="D50" s="11" t="n">
        <v>4500</v>
      </c>
      <c r="E50" s="9" t="s">
        <v>344</v>
      </c>
      <c r="F50" s="8" t="n">
        <v>6</v>
      </c>
      <c r="G50" s="8" t="s">
        <v>339</v>
      </c>
      <c r="H50" s="9" t="s">
        <v>450</v>
      </c>
      <c r="I50" s="8" t="s">
        <v>451</v>
      </c>
    </row>
    <row r="51" customFormat="false" ht="42" hidden="false" customHeight="true" outlineLevel="0" collapsed="false">
      <c r="A51" s="16" t="n">
        <v>50</v>
      </c>
      <c r="B51" s="17" t="s">
        <v>328</v>
      </c>
      <c r="C51" s="17" t="s">
        <v>346</v>
      </c>
      <c r="D51" s="19" t="n">
        <v>5000</v>
      </c>
      <c r="E51" s="17" t="s">
        <v>350</v>
      </c>
      <c r="F51" s="16" t="n">
        <v>6</v>
      </c>
      <c r="G51" s="16" t="s">
        <v>345</v>
      </c>
      <c r="H51" s="17" t="s">
        <v>450</v>
      </c>
      <c r="I51" s="16" t="s">
        <v>451</v>
      </c>
    </row>
    <row r="52" customFormat="false" ht="42" hidden="false" customHeight="true" outlineLevel="0" collapsed="false">
      <c r="A52" s="8" t="n">
        <v>51</v>
      </c>
      <c r="B52" s="9" t="s">
        <v>352</v>
      </c>
      <c r="C52" s="9" t="s">
        <v>353</v>
      </c>
      <c r="D52" s="11" t="n">
        <v>10000</v>
      </c>
      <c r="E52" s="9" t="s">
        <v>358</v>
      </c>
      <c r="F52" s="8" t="n">
        <v>14</v>
      </c>
      <c r="G52" s="8" t="s">
        <v>351</v>
      </c>
      <c r="H52" s="9" t="s">
        <v>450</v>
      </c>
      <c r="I52" s="8" t="s">
        <v>451</v>
      </c>
    </row>
    <row r="53" customFormat="false" ht="42" hidden="false" customHeight="true" outlineLevel="0" collapsed="false">
      <c r="A53" s="12" t="n">
        <v>52</v>
      </c>
      <c r="B53" s="13" t="s">
        <v>352</v>
      </c>
      <c r="C53" s="13" t="s">
        <v>360</v>
      </c>
      <c r="D53" s="15" t="n">
        <v>9500</v>
      </c>
      <c r="E53" s="13" t="s">
        <v>363</v>
      </c>
      <c r="F53" s="12" t="n">
        <v>14</v>
      </c>
      <c r="G53" s="12" t="s">
        <v>359</v>
      </c>
      <c r="H53" s="13" t="s">
        <v>450</v>
      </c>
      <c r="I53" s="12" t="s">
        <v>451</v>
      </c>
    </row>
    <row r="54" customFormat="false" ht="42" hidden="false" customHeight="true" outlineLevel="0" collapsed="false">
      <c r="A54" s="8" t="n">
        <v>53</v>
      </c>
      <c r="B54" s="9" t="s">
        <v>352</v>
      </c>
      <c r="C54" s="9" t="s">
        <v>365</v>
      </c>
      <c r="D54" s="11" t="n">
        <v>8500</v>
      </c>
      <c r="E54" s="9" t="s">
        <v>368</v>
      </c>
      <c r="F54" s="8" t="n">
        <v>13</v>
      </c>
      <c r="G54" s="8" t="s">
        <v>364</v>
      </c>
      <c r="H54" s="9" t="s">
        <v>450</v>
      </c>
      <c r="I54" s="8" t="s">
        <v>451</v>
      </c>
    </row>
    <row r="55" customFormat="false" ht="42" hidden="false" customHeight="true" outlineLevel="0" collapsed="false">
      <c r="A55" s="16" t="n">
        <v>54</v>
      </c>
      <c r="B55" s="17" t="s">
        <v>352</v>
      </c>
      <c r="C55" s="17" t="s">
        <v>370</v>
      </c>
      <c r="D55" s="19" t="n">
        <v>11000</v>
      </c>
      <c r="E55" s="17" t="s">
        <v>374</v>
      </c>
      <c r="F55" s="16" t="n">
        <v>15</v>
      </c>
      <c r="G55" s="16" t="s">
        <v>369</v>
      </c>
      <c r="H55" s="17" t="s">
        <v>450</v>
      </c>
      <c r="I55" s="16" t="s">
        <v>451</v>
      </c>
    </row>
    <row r="56" customFormat="false" ht="42" hidden="false" customHeight="true" outlineLevel="0" collapsed="false">
      <c r="A56" s="16" t="n">
        <v>55</v>
      </c>
      <c r="B56" s="17" t="s">
        <v>376</v>
      </c>
      <c r="C56" s="17" t="s">
        <v>377</v>
      </c>
      <c r="D56" s="19" t="n">
        <v>14500</v>
      </c>
      <c r="E56" s="17" t="s">
        <v>381</v>
      </c>
      <c r="F56" s="16" t="n">
        <v>16</v>
      </c>
      <c r="G56" s="16" t="s">
        <v>375</v>
      </c>
      <c r="H56" s="17" t="s">
        <v>450</v>
      </c>
      <c r="I56" s="16" t="s">
        <v>451</v>
      </c>
    </row>
    <row r="57" customFormat="false" ht="42" hidden="false" customHeight="true" outlineLevel="0" collapsed="false">
      <c r="A57" s="16" t="n">
        <v>56</v>
      </c>
      <c r="B57" s="17" t="s">
        <v>376</v>
      </c>
      <c r="C57" s="17" t="s">
        <v>383</v>
      </c>
      <c r="D57" s="19" t="n">
        <v>12500</v>
      </c>
      <c r="E57" s="17" t="s">
        <v>387</v>
      </c>
      <c r="F57" s="16" t="n">
        <v>15</v>
      </c>
      <c r="G57" s="16" t="s">
        <v>382</v>
      </c>
      <c r="H57" s="17" t="s">
        <v>450</v>
      </c>
      <c r="I57" s="16" t="s">
        <v>451</v>
      </c>
    </row>
    <row r="58" customFormat="false" ht="42" hidden="false" customHeight="true" outlineLevel="0" collapsed="false">
      <c r="A58" s="16" t="n">
        <v>57</v>
      </c>
      <c r="B58" s="17" t="s">
        <v>376</v>
      </c>
      <c r="C58" s="17" t="s">
        <v>390</v>
      </c>
      <c r="D58" s="19" t="n">
        <v>22000</v>
      </c>
      <c r="E58" s="17" t="s">
        <v>394</v>
      </c>
      <c r="F58" s="16" t="n">
        <v>18</v>
      </c>
      <c r="G58" s="16" t="s">
        <v>388</v>
      </c>
      <c r="H58" s="17" t="s">
        <v>450</v>
      </c>
      <c r="I58" s="16" t="s">
        <v>451</v>
      </c>
    </row>
    <row r="59" customFormat="false" ht="42" hidden="false" customHeight="true" outlineLevel="0" collapsed="false">
      <c r="A59" s="16" t="n">
        <v>58</v>
      </c>
      <c r="B59" s="17" t="s">
        <v>396</v>
      </c>
      <c r="C59" s="17" t="s">
        <v>397</v>
      </c>
      <c r="D59" s="19" t="n">
        <v>1000</v>
      </c>
      <c r="E59" s="17" t="s">
        <v>400</v>
      </c>
      <c r="F59" s="16" t="n">
        <v>0</v>
      </c>
      <c r="G59" s="16" t="s">
        <v>395</v>
      </c>
      <c r="H59" s="17" t="s">
        <v>450</v>
      </c>
      <c r="I59" s="16" t="s">
        <v>451</v>
      </c>
    </row>
    <row r="60" customFormat="false" ht="42" hidden="false" customHeight="true" outlineLevel="0" collapsed="false">
      <c r="A60" s="16" t="n">
        <v>59</v>
      </c>
      <c r="B60" s="17" t="s">
        <v>396</v>
      </c>
      <c r="C60" s="17" t="s">
        <v>402</v>
      </c>
      <c r="D60" s="19" t="n">
        <v>1500</v>
      </c>
      <c r="E60" s="17" t="s">
        <v>406</v>
      </c>
      <c r="F60" s="16" t="n">
        <v>0</v>
      </c>
      <c r="G60" s="16" t="s">
        <v>401</v>
      </c>
      <c r="H60" s="17" t="s">
        <v>450</v>
      </c>
      <c r="I60" s="16" t="s">
        <v>451</v>
      </c>
    </row>
    <row r="61" customFormat="false" ht="42" hidden="false" customHeight="true" outlineLevel="0" collapsed="false">
      <c r="A61" s="16" t="n">
        <v>60</v>
      </c>
      <c r="B61" s="17" t="s">
        <v>396</v>
      </c>
      <c r="C61" s="17" t="s">
        <v>408</v>
      </c>
      <c r="D61" s="19" t="n">
        <v>2000</v>
      </c>
      <c r="E61" s="17" t="s">
        <v>412</v>
      </c>
      <c r="F61" s="16" t="n">
        <v>3</v>
      </c>
      <c r="G61" s="16" t="s">
        <v>407</v>
      </c>
      <c r="H61" s="17" t="s">
        <v>450</v>
      </c>
      <c r="I61" s="16" t="s">
        <v>451</v>
      </c>
    </row>
    <row r="62" customFormat="false" ht="42" hidden="false" customHeight="true" outlineLevel="0" collapsed="false">
      <c r="A62" s="16" t="n">
        <v>61</v>
      </c>
      <c r="B62" s="17" t="s">
        <v>396</v>
      </c>
      <c r="C62" s="17" t="s">
        <v>414</v>
      </c>
      <c r="D62" s="19" t="n">
        <v>2500</v>
      </c>
      <c r="E62" s="17" t="s">
        <v>418</v>
      </c>
      <c r="F62" s="16" t="n">
        <v>4</v>
      </c>
      <c r="G62" s="16" t="s">
        <v>413</v>
      </c>
      <c r="H62" s="17" t="s">
        <v>450</v>
      </c>
      <c r="I62" s="16" t="s">
        <v>451</v>
      </c>
    </row>
    <row r="63" customFormat="false" ht="42" hidden="false" customHeight="true" outlineLevel="0" collapsed="false">
      <c r="A63" s="16" t="n">
        <v>62</v>
      </c>
      <c r="B63" s="17" t="s">
        <v>396</v>
      </c>
      <c r="C63" s="17" t="s">
        <v>420</v>
      </c>
      <c r="D63" s="19" t="n">
        <v>2500</v>
      </c>
      <c r="E63" s="17" t="s">
        <v>424</v>
      </c>
      <c r="F63" s="16" t="n">
        <v>4</v>
      </c>
      <c r="G63" s="16" t="s">
        <v>419</v>
      </c>
      <c r="H63" s="17" t="s">
        <v>450</v>
      </c>
      <c r="I63" s="16" t="s">
        <v>451</v>
      </c>
    </row>
    <row r="64" customFormat="false" ht="42" hidden="false" customHeight="true" outlineLevel="0" collapsed="false">
      <c r="A64" s="16" t="n">
        <v>63</v>
      </c>
      <c r="B64" s="17" t="s">
        <v>396</v>
      </c>
      <c r="C64" s="17" t="s">
        <v>426</v>
      </c>
      <c r="D64" s="19" t="n">
        <v>800</v>
      </c>
      <c r="E64" s="17" t="s">
        <v>430</v>
      </c>
      <c r="F64" s="16" t="n">
        <v>1</v>
      </c>
      <c r="G64" s="16" t="s">
        <v>425</v>
      </c>
      <c r="H64" s="17" t="s">
        <v>450</v>
      </c>
      <c r="I64" s="16" t="s">
        <v>451</v>
      </c>
    </row>
    <row r="65" customFormat="false" ht="42" hidden="false" customHeight="true" outlineLevel="0" collapsed="false">
      <c r="A65" s="16" t="n">
        <v>64</v>
      </c>
      <c r="B65" s="17" t="s">
        <v>432</v>
      </c>
      <c r="C65" s="17" t="s">
        <v>433</v>
      </c>
      <c r="D65" s="19" t="n">
        <v>4000</v>
      </c>
      <c r="E65" s="17" t="s">
        <v>437</v>
      </c>
      <c r="F65" s="16" t="n">
        <v>0</v>
      </c>
      <c r="G65" s="16" t="s">
        <v>431</v>
      </c>
      <c r="H65" s="17" t="s">
        <v>450</v>
      </c>
      <c r="I65" s="16" t="s">
        <v>451</v>
      </c>
    </row>
    <row r="66" customFormat="false" ht="42" hidden="false" customHeight="true" outlineLevel="0" collapsed="false">
      <c r="A66" s="16" t="n">
        <v>65</v>
      </c>
      <c r="B66" s="17" t="s">
        <v>432</v>
      </c>
      <c r="C66" s="17" t="s">
        <v>439</v>
      </c>
      <c r="D66" s="19" t="n">
        <v>5500</v>
      </c>
      <c r="E66" s="17" t="s">
        <v>443</v>
      </c>
      <c r="F66" s="16" t="n">
        <v>0</v>
      </c>
      <c r="G66" s="16" t="s">
        <v>438</v>
      </c>
      <c r="H66" s="17" t="s">
        <v>450</v>
      </c>
      <c r="I66" s="16" t="s">
        <v>451</v>
      </c>
    </row>
    <row r="68" customFormat="false" ht="48" hidden="false" customHeight="true" outlineLevel="0" collapsed="false">
      <c r="A68" s="22" t="s">
        <v>452</v>
      </c>
      <c r="B68" s="22"/>
      <c r="C68" s="22"/>
      <c r="D68" s="22"/>
      <c r="E68" s="22"/>
      <c r="F68" s="22"/>
      <c r="G68" s="22"/>
      <c r="H68" s="22"/>
      <c r="I68" s="22"/>
    </row>
    <row r="69" customFormat="false" ht="1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</row>
    <row r="70" customFormat="false" ht="1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</row>
  </sheetData>
  <autoFilter ref="A1:I66"/>
  <mergeCells count="1">
    <mergeCell ref="A68:I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6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48"/>
  </cols>
  <sheetData>
    <row r="1" customFormat="false" ht="23.25" hidden="false" customHeight="true" outlineLevel="0" collapsed="false">
      <c r="A1" s="7" t="s">
        <v>18</v>
      </c>
      <c r="B1" s="7" t="s">
        <v>453</v>
      </c>
      <c r="C1" s="7" t="s">
        <v>454</v>
      </c>
      <c r="D1" s="7" t="s">
        <v>24</v>
      </c>
      <c r="E1" s="7" t="s">
        <v>455</v>
      </c>
      <c r="F1" s="7" t="s">
        <v>456</v>
      </c>
      <c r="G1" s="7" t="s">
        <v>457</v>
      </c>
      <c r="H1" s="7" t="s">
        <v>458</v>
      </c>
      <c r="I1" s="7" t="s">
        <v>459</v>
      </c>
    </row>
    <row r="2" customFormat="false" ht="39.75" hidden="false" customHeight="true" outlineLevel="0" collapsed="false">
      <c r="A2" s="8" t="s">
        <v>33</v>
      </c>
      <c r="B2" s="8" t="s">
        <v>34</v>
      </c>
      <c r="C2" s="9" t="s">
        <v>35</v>
      </c>
      <c r="D2" s="11" t="n">
        <v>7800</v>
      </c>
      <c r="E2" s="9" t="s">
        <v>41</v>
      </c>
      <c r="F2" s="8" t="n">
        <v>9</v>
      </c>
      <c r="G2" s="8" t="s">
        <v>460</v>
      </c>
      <c r="H2" s="9" t="s">
        <v>461</v>
      </c>
      <c r="I2" s="9" t="s">
        <v>462</v>
      </c>
    </row>
    <row r="3" customFormat="false" ht="39.75" hidden="false" customHeight="true" outlineLevel="0" collapsed="false">
      <c r="A3" s="12" t="s">
        <v>43</v>
      </c>
      <c r="B3" s="12" t="s">
        <v>34</v>
      </c>
      <c r="C3" s="13" t="s">
        <v>44</v>
      </c>
      <c r="D3" s="15" t="n">
        <v>5500</v>
      </c>
      <c r="E3" s="13" t="s">
        <v>48</v>
      </c>
      <c r="F3" s="12" t="n">
        <v>9</v>
      </c>
      <c r="G3" s="12" t="s">
        <v>460</v>
      </c>
      <c r="H3" s="13" t="s">
        <v>461</v>
      </c>
      <c r="I3" s="13" t="s">
        <v>462</v>
      </c>
    </row>
    <row r="4" customFormat="false" ht="39.75" hidden="false" customHeight="true" outlineLevel="0" collapsed="false">
      <c r="A4" s="8" t="s">
        <v>49</v>
      </c>
      <c r="B4" s="8" t="s">
        <v>34</v>
      </c>
      <c r="C4" s="9" t="s">
        <v>50</v>
      </c>
      <c r="D4" s="11" t="n">
        <v>4500</v>
      </c>
      <c r="E4" s="9" t="s">
        <v>54</v>
      </c>
      <c r="F4" s="8" t="n">
        <v>10</v>
      </c>
      <c r="G4" s="8" t="s">
        <v>460</v>
      </c>
      <c r="H4" s="9" t="s">
        <v>461</v>
      </c>
      <c r="I4" s="9" t="s">
        <v>462</v>
      </c>
    </row>
    <row r="5" customFormat="false" ht="39.75" hidden="false" customHeight="true" outlineLevel="0" collapsed="false">
      <c r="A5" s="12" t="s">
        <v>55</v>
      </c>
      <c r="B5" s="12" t="s">
        <v>34</v>
      </c>
      <c r="C5" s="13" t="s">
        <v>56</v>
      </c>
      <c r="D5" s="15" t="n">
        <v>4500</v>
      </c>
      <c r="E5" s="13" t="s">
        <v>60</v>
      </c>
      <c r="F5" s="12" t="n">
        <v>10</v>
      </c>
      <c r="G5" s="12" t="s">
        <v>460</v>
      </c>
      <c r="H5" s="13" t="s">
        <v>461</v>
      </c>
      <c r="I5" s="13" t="s">
        <v>462</v>
      </c>
    </row>
    <row r="6" customFormat="false" ht="39.75" hidden="false" customHeight="true" outlineLevel="0" collapsed="false">
      <c r="A6" s="8" t="s">
        <v>61</v>
      </c>
      <c r="B6" s="8" t="s">
        <v>34</v>
      </c>
      <c r="C6" s="9" t="s">
        <v>62</v>
      </c>
      <c r="D6" s="11" t="n">
        <v>6000</v>
      </c>
      <c r="E6" s="9" t="s">
        <v>67</v>
      </c>
      <c r="F6" s="8" t="n">
        <v>15</v>
      </c>
      <c r="G6" s="8" t="s">
        <v>460</v>
      </c>
      <c r="H6" s="9" t="s">
        <v>461</v>
      </c>
      <c r="I6" s="9" t="s">
        <v>462</v>
      </c>
    </row>
    <row r="7" customFormat="false" ht="39.75" hidden="false" customHeight="true" outlineLevel="0" collapsed="false">
      <c r="A7" s="12" t="s">
        <v>68</v>
      </c>
      <c r="B7" s="12" t="s">
        <v>34</v>
      </c>
      <c r="C7" s="13" t="s">
        <v>69</v>
      </c>
      <c r="D7" s="15" t="n">
        <v>3500</v>
      </c>
      <c r="E7" s="13" t="s">
        <v>74</v>
      </c>
      <c r="F7" s="12" t="n">
        <v>6</v>
      </c>
      <c r="G7" s="12" t="s">
        <v>460</v>
      </c>
      <c r="H7" s="13" t="s">
        <v>461</v>
      </c>
      <c r="I7" s="13" t="s">
        <v>462</v>
      </c>
    </row>
    <row r="8" customFormat="false" ht="39.75" hidden="false" customHeight="true" outlineLevel="0" collapsed="false">
      <c r="A8" s="8" t="s">
        <v>75</v>
      </c>
      <c r="B8" s="8" t="s">
        <v>34</v>
      </c>
      <c r="C8" s="9" t="s">
        <v>76</v>
      </c>
      <c r="D8" s="11" t="n">
        <v>6500</v>
      </c>
      <c r="E8" s="9" t="s">
        <v>80</v>
      </c>
      <c r="F8" s="8" t="n">
        <v>12</v>
      </c>
      <c r="G8" s="8" t="s">
        <v>460</v>
      </c>
      <c r="H8" s="9" t="s">
        <v>461</v>
      </c>
      <c r="I8" s="9" t="s">
        <v>462</v>
      </c>
    </row>
    <row r="9" customFormat="false" ht="39.75" hidden="false" customHeight="true" outlineLevel="0" collapsed="false">
      <c r="A9" s="12" t="s">
        <v>81</v>
      </c>
      <c r="B9" s="12" t="s">
        <v>82</v>
      </c>
      <c r="C9" s="13" t="s">
        <v>84</v>
      </c>
      <c r="D9" s="15" t="n">
        <v>24000</v>
      </c>
      <c r="E9" s="13" t="s">
        <v>89</v>
      </c>
      <c r="F9" s="12" t="n">
        <v>15</v>
      </c>
      <c r="G9" s="12" t="s">
        <v>460</v>
      </c>
      <c r="H9" s="13" t="s">
        <v>461</v>
      </c>
      <c r="I9" s="13" t="s">
        <v>462</v>
      </c>
    </row>
    <row r="10" customFormat="false" ht="39.75" hidden="false" customHeight="true" outlineLevel="0" collapsed="false">
      <c r="A10" s="8" t="s">
        <v>90</v>
      </c>
      <c r="B10" s="8" t="s">
        <v>82</v>
      </c>
      <c r="C10" s="9" t="s">
        <v>92</v>
      </c>
      <c r="D10" s="11" t="n">
        <v>39000</v>
      </c>
      <c r="E10" s="9" t="s">
        <v>95</v>
      </c>
      <c r="F10" s="8" t="n">
        <v>20</v>
      </c>
      <c r="G10" s="8" t="s">
        <v>460</v>
      </c>
      <c r="H10" s="9" t="s">
        <v>461</v>
      </c>
      <c r="I10" s="9" t="s">
        <v>462</v>
      </c>
    </row>
    <row r="11" customFormat="false" ht="39.75" hidden="false" customHeight="true" outlineLevel="0" collapsed="false">
      <c r="A11" s="12" t="s">
        <v>96</v>
      </c>
      <c r="B11" s="12" t="s">
        <v>82</v>
      </c>
      <c r="C11" s="13" t="s">
        <v>98</v>
      </c>
      <c r="D11" s="15" t="n">
        <v>48000</v>
      </c>
      <c r="E11" s="13" t="s">
        <v>102</v>
      </c>
      <c r="F11" s="12" t="n">
        <v>25</v>
      </c>
      <c r="G11" s="12" t="s">
        <v>460</v>
      </c>
      <c r="H11" s="13" t="s">
        <v>461</v>
      </c>
      <c r="I11" s="13" t="s">
        <v>462</v>
      </c>
    </row>
    <row r="12" customFormat="false" ht="39.75" hidden="false" customHeight="true" outlineLevel="0" collapsed="false">
      <c r="A12" s="8" t="s">
        <v>103</v>
      </c>
      <c r="B12" s="8" t="s">
        <v>82</v>
      </c>
      <c r="C12" s="9" t="s">
        <v>105</v>
      </c>
      <c r="D12" s="11" t="n">
        <v>67500</v>
      </c>
      <c r="E12" s="9" t="s">
        <v>110</v>
      </c>
      <c r="F12" s="8" t="n">
        <v>35</v>
      </c>
      <c r="G12" s="8" t="s">
        <v>460</v>
      </c>
      <c r="H12" s="9" t="s">
        <v>461</v>
      </c>
      <c r="I12" s="9" t="s">
        <v>462</v>
      </c>
    </row>
    <row r="13" customFormat="false" ht="39.75" hidden="false" customHeight="true" outlineLevel="0" collapsed="false">
      <c r="A13" s="12" t="s">
        <v>111</v>
      </c>
      <c r="B13" s="12" t="s">
        <v>112</v>
      </c>
      <c r="C13" s="13" t="s">
        <v>114</v>
      </c>
      <c r="D13" s="15" t="n">
        <v>18000</v>
      </c>
      <c r="E13" s="13" t="s">
        <v>118</v>
      </c>
      <c r="F13" s="12" t="n">
        <v>15</v>
      </c>
      <c r="G13" s="12" t="s">
        <v>460</v>
      </c>
      <c r="H13" s="13" t="s">
        <v>461</v>
      </c>
      <c r="I13" s="13" t="s">
        <v>462</v>
      </c>
    </row>
    <row r="14" customFormat="false" ht="39.75" hidden="false" customHeight="true" outlineLevel="0" collapsed="false">
      <c r="A14" s="8" t="s">
        <v>119</v>
      </c>
      <c r="B14" s="8" t="s">
        <v>112</v>
      </c>
      <c r="C14" s="9" t="s">
        <v>121</v>
      </c>
      <c r="D14" s="11" t="n">
        <v>29500</v>
      </c>
      <c r="E14" s="9" t="s">
        <v>124</v>
      </c>
      <c r="F14" s="8" t="n">
        <v>20</v>
      </c>
      <c r="G14" s="8" t="s">
        <v>460</v>
      </c>
      <c r="H14" s="9" t="s">
        <v>461</v>
      </c>
      <c r="I14" s="9" t="s">
        <v>462</v>
      </c>
    </row>
    <row r="15" customFormat="false" ht="39.75" hidden="false" customHeight="true" outlineLevel="0" collapsed="false">
      <c r="A15" s="12" t="s">
        <v>125</v>
      </c>
      <c r="B15" s="12" t="s">
        <v>112</v>
      </c>
      <c r="C15" s="13" t="s">
        <v>127</v>
      </c>
      <c r="D15" s="15" t="n">
        <v>36000</v>
      </c>
      <c r="E15" s="13" t="s">
        <v>129</v>
      </c>
      <c r="F15" s="12" t="n">
        <v>25</v>
      </c>
      <c r="G15" s="12" t="s">
        <v>460</v>
      </c>
      <c r="H15" s="13" t="s">
        <v>461</v>
      </c>
      <c r="I15" s="13" t="s">
        <v>462</v>
      </c>
    </row>
    <row r="16" customFormat="false" ht="39.75" hidden="false" customHeight="true" outlineLevel="0" collapsed="false">
      <c r="A16" s="8" t="s">
        <v>130</v>
      </c>
      <c r="B16" s="8" t="s">
        <v>112</v>
      </c>
      <c r="C16" s="9" t="s">
        <v>132</v>
      </c>
      <c r="D16" s="11" t="n">
        <v>50000</v>
      </c>
      <c r="E16" s="9" t="s">
        <v>135</v>
      </c>
      <c r="F16" s="8" t="n">
        <v>35</v>
      </c>
      <c r="G16" s="8" t="s">
        <v>460</v>
      </c>
      <c r="H16" s="9" t="s">
        <v>461</v>
      </c>
      <c r="I16" s="9" t="s">
        <v>462</v>
      </c>
    </row>
    <row r="17" customFormat="false" ht="39.75" hidden="false" customHeight="true" outlineLevel="0" collapsed="false">
      <c r="A17" s="12" t="s">
        <v>136</v>
      </c>
      <c r="B17" s="12" t="s">
        <v>137</v>
      </c>
      <c r="C17" s="13" t="s">
        <v>139</v>
      </c>
      <c r="D17" s="15" t="n">
        <v>42000</v>
      </c>
      <c r="E17" s="13" t="s">
        <v>143</v>
      </c>
      <c r="F17" s="12" t="n">
        <v>22</v>
      </c>
      <c r="G17" s="12" t="s">
        <v>460</v>
      </c>
      <c r="H17" s="13" t="s">
        <v>461</v>
      </c>
      <c r="I17" s="13" t="s">
        <v>462</v>
      </c>
    </row>
    <row r="18" customFormat="false" ht="39.75" hidden="false" customHeight="true" outlineLevel="0" collapsed="false">
      <c r="A18" s="8" t="s">
        <v>144</v>
      </c>
      <c r="B18" s="8" t="s">
        <v>137</v>
      </c>
      <c r="C18" s="9" t="s">
        <v>146</v>
      </c>
      <c r="D18" s="11" t="n">
        <v>28000</v>
      </c>
      <c r="E18" s="9" t="s">
        <v>150</v>
      </c>
      <c r="F18" s="8" t="n">
        <v>18</v>
      </c>
      <c r="G18" s="8" t="s">
        <v>460</v>
      </c>
      <c r="H18" s="9" t="s">
        <v>461</v>
      </c>
      <c r="I18" s="9" t="s">
        <v>462</v>
      </c>
    </row>
    <row r="19" customFormat="false" ht="39.75" hidden="false" customHeight="true" outlineLevel="0" collapsed="false">
      <c r="A19" s="12" t="s">
        <v>151</v>
      </c>
      <c r="B19" s="12" t="s">
        <v>137</v>
      </c>
      <c r="C19" s="13" t="s">
        <v>153</v>
      </c>
      <c r="D19" s="15" t="n">
        <v>44000</v>
      </c>
      <c r="E19" s="13" t="s">
        <v>157</v>
      </c>
      <c r="F19" s="12" t="n">
        <v>24</v>
      </c>
      <c r="G19" s="12" t="s">
        <v>460</v>
      </c>
      <c r="H19" s="13" t="s">
        <v>461</v>
      </c>
      <c r="I19" s="13" t="s">
        <v>462</v>
      </c>
    </row>
    <row r="20" customFormat="false" ht="39.75" hidden="false" customHeight="true" outlineLevel="0" collapsed="false">
      <c r="A20" s="8" t="s">
        <v>158</v>
      </c>
      <c r="B20" s="8" t="s">
        <v>137</v>
      </c>
      <c r="C20" s="9" t="s">
        <v>160</v>
      </c>
      <c r="D20" s="11" t="n">
        <v>85000</v>
      </c>
      <c r="E20" s="9" t="s">
        <v>164</v>
      </c>
      <c r="F20" s="8" t="n">
        <v>45</v>
      </c>
      <c r="G20" s="8" t="s">
        <v>460</v>
      </c>
      <c r="H20" s="9" t="s">
        <v>461</v>
      </c>
      <c r="I20" s="9" t="s">
        <v>462</v>
      </c>
    </row>
    <row r="21" customFormat="false" ht="39.75" hidden="false" customHeight="true" outlineLevel="0" collapsed="false">
      <c r="A21" s="12" t="s">
        <v>165</v>
      </c>
      <c r="B21" s="12" t="s">
        <v>166</v>
      </c>
      <c r="C21" s="13" t="s">
        <v>167</v>
      </c>
      <c r="D21" s="15" t="n">
        <v>4500</v>
      </c>
      <c r="E21" s="13" t="s">
        <v>171</v>
      </c>
      <c r="F21" s="12" t="n">
        <v>6</v>
      </c>
      <c r="G21" s="12" t="s">
        <v>460</v>
      </c>
      <c r="H21" s="13" t="s">
        <v>461</v>
      </c>
      <c r="I21" s="13" t="s">
        <v>462</v>
      </c>
    </row>
    <row r="22" customFormat="false" ht="39.75" hidden="false" customHeight="true" outlineLevel="0" collapsed="false">
      <c r="A22" s="8" t="s">
        <v>172</v>
      </c>
      <c r="B22" s="8" t="s">
        <v>166</v>
      </c>
      <c r="C22" s="9" t="s">
        <v>173</v>
      </c>
      <c r="D22" s="11" t="n">
        <v>4500</v>
      </c>
      <c r="E22" s="9" t="s">
        <v>177</v>
      </c>
      <c r="F22" s="8" t="n">
        <v>6</v>
      </c>
      <c r="G22" s="8" t="s">
        <v>460</v>
      </c>
      <c r="H22" s="9" t="s">
        <v>461</v>
      </c>
      <c r="I22" s="9" t="s">
        <v>462</v>
      </c>
    </row>
    <row r="23" customFormat="false" ht="39.75" hidden="false" customHeight="true" outlineLevel="0" collapsed="false">
      <c r="A23" s="12" t="s">
        <v>178</v>
      </c>
      <c r="B23" s="12" t="s">
        <v>166</v>
      </c>
      <c r="C23" s="13" t="s">
        <v>179</v>
      </c>
      <c r="D23" s="15" t="n">
        <v>5500</v>
      </c>
      <c r="E23" s="13" t="s">
        <v>183</v>
      </c>
      <c r="F23" s="12" t="n">
        <v>7</v>
      </c>
      <c r="G23" s="12" t="s">
        <v>460</v>
      </c>
      <c r="H23" s="13" t="s">
        <v>461</v>
      </c>
      <c r="I23" s="13" t="s">
        <v>462</v>
      </c>
    </row>
    <row r="24" customFormat="false" ht="39.75" hidden="false" customHeight="true" outlineLevel="0" collapsed="false">
      <c r="A24" s="8" t="s">
        <v>184</v>
      </c>
      <c r="B24" s="8" t="s">
        <v>166</v>
      </c>
      <c r="C24" s="9" t="s">
        <v>185</v>
      </c>
      <c r="D24" s="11" t="n">
        <v>5500</v>
      </c>
      <c r="E24" s="9" t="s">
        <v>189</v>
      </c>
      <c r="F24" s="8" t="n">
        <v>7</v>
      </c>
      <c r="G24" s="8" t="s">
        <v>460</v>
      </c>
      <c r="H24" s="9" t="s">
        <v>461</v>
      </c>
      <c r="I24" s="9" t="s">
        <v>462</v>
      </c>
    </row>
    <row r="25" customFormat="false" ht="39.75" hidden="false" customHeight="true" outlineLevel="0" collapsed="false">
      <c r="A25" s="12" t="s">
        <v>190</v>
      </c>
      <c r="B25" s="12" t="s">
        <v>166</v>
      </c>
      <c r="C25" s="13" t="s">
        <v>191</v>
      </c>
      <c r="D25" s="15" t="n">
        <v>5800</v>
      </c>
      <c r="E25" s="13" t="s">
        <v>195</v>
      </c>
      <c r="F25" s="12" t="n">
        <v>8</v>
      </c>
      <c r="G25" s="12" t="s">
        <v>460</v>
      </c>
      <c r="H25" s="13" t="s">
        <v>461</v>
      </c>
      <c r="I25" s="13" t="s">
        <v>462</v>
      </c>
    </row>
    <row r="26" customFormat="false" ht="39.75" hidden="false" customHeight="true" outlineLevel="0" collapsed="false">
      <c r="A26" s="8" t="s">
        <v>196</v>
      </c>
      <c r="B26" s="8" t="s">
        <v>197</v>
      </c>
      <c r="C26" s="9" t="s">
        <v>198</v>
      </c>
      <c r="D26" s="11" t="n">
        <v>11000</v>
      </c>
      <c r="E26" s="9" t="s">
        <v>202</v>
      </c>
      <c r="F26" s="8" t="n">
        <v>12</v>
      </c>
      <c r="G26" s="8" t="s">
        <v>460</v>
      </c>
      <c r="H26" s="9" t="s">
        <v>461</v>
      </c>
      <c r="I26" s="9" t="s">
        <v>462</v>
      </c>
    </row>
    <row r="27" customFormat="false" ht="39.75" hidden="false" customHeight="true" outlineLevel="0" collapsed="false">
      <c r="A27" s="12" t="s">
        <v>203</v>
      </c>
      <c r="B27" s="12" t="s">
        <v>197</v>
      </c>
      <c r="C27" s="13" t="s">
        <v>204</v>
      </c>
      <c r="D27" s="15" t="n">
        <v>12000</v>
      </c>
      <c r="E27" s="13" t="s">
        <v>208</v>
      </c>
      <c r="F27" s="12" t="n">
        <v>12</v>
      </c>
      <c r="G27" s="12" t="s">
        <v>460</v>
      </c>
      <c r="H27" s="13" t="s">
        <v>461</v>
      </c>
      <c r="I27" s="13" t="s">
        <v>462</v>
      </c>
    </row>
    <row r="28" customFormat="false" ht="39.75" hidden="false" customHeight="true" outlineLevel="0" collapsed="false">
      <c r="A28" s="8" t="s">
        <v>209</v>
      </c>
      <c r="B28" s="8" t="s">
        <v>197</v>
      </c>
      <c r="C28" s="9" t="s">
        <v>210</v>
      </c>
      <c r="D28" s="11" t="n">
        <v>9500</v>
      </c>
      <c r="E28" s="9" t="s">
        <v>214</v>
      </c>
      <c r="F28" s="8" t="n">
        <v>12</v>
      </c>
      <c r="G28" s="8" t="s">
        <v>460</v>
      </c>
      <c r="H28" s="9" t="s">
        <v>461</v>
      </c>
      <c r="I28" s="9" t="s">
        <v>462</v>
      </c>
    </row>
    <row r="29" customFormat="false" ht="39.75" hidden="false" customHeight="true" outlineLevel="0" collapsed="false">
      <c r="A29" s="12" t="s">
        <v>215</v>
      </c>
      <c r="B29" s="12" t="s">
        <v>197</v>
      </c>
      <c r="C29" s="13" t="s">
        <v>216</v>
      </c>
      <c r="D29" s="15" t="n">
        <v>9000</v>
      </c>
      <c r="E29" s="13" t="s">
        <v>220</v>
      </c>
      <c r="F29" s="12" t="n">
        <v>12</v>
      </c>
      <c r="G29" s="12" t="s">
        <v>460</v>
      </c>
      <c r="H29" s="13" t="s">
        <v>461</v>
      </c>
      <c r="I29" s="13" t="s">
        <v>462</v>
      </c>
    </row>
    <row r="30" customFormat="false" ht="39.75" hidden="false" customHeight="true" outlineLevel="0" collapsed="false">
      <c r="A30" s="8" t="s">
        <v>221</v>
      </c>
      <c r="B30" s="8" t="s">
        <v>197</v>
      </c>
      <c r="C30" s="9" t="s">
        <v>222</v>
      </c>
      <c r="D30" s="11" t="n">
        <v>12000</v>
      </c>
      <c r="E30" s="9" t="s">
        <v>226</v>
      </c>
      <c r="F30" s="8" t="n">
        <v>13</v>
      </c>
      <c r="G30" s="8" t="s">
        <v>460</v>
      </c>
      <c r="H30" s="9" t="s">
        <v>461</v>
      </c>
      <c r="I30" s="9" t="s">
        <v>462</v>
      </c>
    </row>
    <row r="31" customFormat="false" ht="39.75" hidden="false" customHeight="true" outlineLevel="0" collapsed="false">
      <c r="A31" s="12" t="s">
        <v>227</v>
      </c>
      <c r="B31" s="12" t="s">
        <v>197</v>
      </c>
      <c r="C31" s="13" t="s">
        <v>228</v>
      </c>
      <c r="D31" s="15" t="n">
        <v>11500</v>
      </c>
      <c r="E31" s="13" t="s">
        <v>232</v>
      </c>
      <c r="F31" s="12" t="n">
        <v>13</v>
      </c>
      <c r="G31" s="12" t="s">
        <v>460</v>
      </c>
      <c r="H31" s="13" t="s">
        <v>461</v>
      </c>
      <c r="I31" s="13" t="s">
        <v>462</v>
      </c>
    </row>
    <row r="32" customFormat="false" ht="39.75" hidden="false" customHeight="true" outlineLevel="0" collapsed="false">
      <c r="A32" s="8" t="s">
        <v>233</v>
      </c>
      <c r="B32" s="8" t="s">
        <v>234</v>
      </c>
      <c r="C32" s="9" t="s">
        <v>235</v>
      </c>
      <c r="D32" s="11" t="n">
        <v>12000</v>
      </c>
      <c r="E32" s="9" t="s">
        <v>239</v>
      </c>
      <c r="F32" s="8" t="n">
        <v>10</v>
      </c>
      <c r="G32" s="8" t="s">
        <v>460</v>
      </c>
      <c r="H32" s="9" t="s">
        <v>461</v>
      </c>
      <c r="I32" s="9" t="s">
        <v>462</v>
      </c>
    </row>
    <row r="33" customFormat="false" ht="39.75" hidden="false" customHeight="true" outlineLevel="0" collapsed="false">
      <c r="A33" s="12" t="s">
        <v>240</v>
      </c>
      <c r="B33" s="12" t="s">
        <v>234</v>
      </c>
      <c r="C33" s="13" t="s">
        <v>241</v>
      </c>
      <c r="D33" s="15" t="n">
        <v>6500</v>
      </c>
      <c r="E33" s="13" t="s">
        <v>245</v>
      </c>
      <c r="F33" s="12" t="n">
        <v>8</v>
      </c>
      <c r="G33" s="12" t="s">
        <v>460</v>
      </c>
      <c r="H33" s="13" t="s">
        <v>461</v>
      </c>
      <c r="I33" s="13" t="s">
        <v>462</v>
      </c>
    </row>
    <row r="34" customFormat="false" ht="39.75" hidden="false" customHeight="true" outlineLevel="0" collapsed="false">
      <c r="A34" s="8" t="s">
        <v>246</v>
      </c>
      <c r="B34" s="8" t="s">
        <v>234</v>
      </c>
      <c r="C34" s="9" t="s">
        <v>247</v>
      </c>
      <c r="D34" s="11" t="n">
        <v>6000</v>
      </c>
      <c r="E34" s="9" t="s">
        <v>251</v>
      </c>
      <c r="F34" s="8" t="n">
        <v>8</v>
      </c>
      <c r="G34" s="8" t="s">
        <v>460</v>
      </c>
      <c r="H34" s="9" t="s">
        <v>461</v>
      </c>
      <c r="I34" s="9" t="s">
        <v>462</v>
      </c>
    </row>
    <row r="35" customFormat="false" ht="39.75" hidden="false" customHeight="true" outlineLevel="0" collapsed="false">
      <c r="A35" s="12" t="s">
        <v>252</v>
      </c>
      <c r="B35" s="12" t="s">
        <v>234</v>
      </c>
      <c r="C35" s="13" t="s">
        <v>253</v>
      </c>
      <c r="D35" s="15" t="n">
        <v>5500</v>
      </c>
      <c r="E35" s="13" t="s">
        <v>257</v>
      </c>
      <c r="F35" s="12" t="n">
        <v>8</v>
      </c>
      <c r="G35" s="12" t="s">
        <v>460</v>
      </c>
      <c r="H35" s="13" t="s">
        <v>461</v>
      </c>
      <c r="I35" s="13" t="s">
        <v>462</v>
      </c>
    </row>
    <row r="36" customFormat="false" ht="39.75" hidden="false" customHeight="true" outlineLevel="0" collapsed="false">
      <c r="A36" s="8" t="s">
        <v>258</v>
      </c>
      <c r="B36" s="8" t="s">
        <v>234</v>
      </c>
      <c r="C36" s="9" t="s">
        <v>259</v>
      </c>
      <c r="D36" s="11" t="n">
        <v>7000</v>
      </c>
      <c r="E36" s="9" t="s">
        <v>263</v>
      </c>
      <c r="F36" s="8" t="n">
        <v>9</v>
      </c>
      <c r="G36" s="8" t="s">
        <v>460</v>
      </c>
      <c r="H36" s="9" t="s">
        <v>461</v>
      </c>
      <c r="I36" s="9" t="s">
        <v>462</v>
      </c>
    </row>
    <row r="37" customFormat="false" ht="39.75" hidden="false" customHeight="true" outlineLevel="0" collapsed="false">
      <c r="A37" s="12" t="s">
        <v>264</v>
      </c>
      <c r="B37" s="12" t="s">
        <v>265</v>
      </c>
      <c r="C37" s="13" t="s">
        <v>266</v>
      </c>
      <c r="D37" s="15" t="n">
        <v>10300</v>
      </c>
      <c r="E37" s="13" t="s">
        <v>270</v>
      </c>
      <c r="F37" s="12" t="n">
        <v>10</v>
      </c>
      <c r="G37" s="12" t="s">
        <v>460</v>
      </c>
      <c r="H37" s="13" t="s">
        <v>461</v>
      </c>
      <c r="I37" s="13" t="s">
        <v>462</v>
      </c>
    </row>
    <row r="38" customFormat="false" ht="39.75" hidden="false" customHeight="true" outlineLevel="0" collapsed="false">
      <c r="A38" s="8" t="s">
        <v>271</v>
      </c>
      <c r="B38" s="8" t="s">
        <v>265</v>
      </c>
      <c r="C38" s="9" t="s">
        <v>272</v>
      </c>
      <c r="D38" s="11" t="n">
        <v>10100</v>
      </c>
      <c r="E38" s="9" t="s">
        <v>275</v>
      </c>
      <c r="F38" s="8" t="n">
        <v>10</v>
      </c>
      <c r="G38" s="8" t="s">
        <v>460</v>
      </c>
      <c r="H38" s="9" t="s">
        <v>461</v>
      </c>
      <c r="I38" s="9" t="s">
        <v>462</v>
      </c>
    </row>
    <row r="39" customFormat="false" ht="39.75" hidden="false" customHeight="true" outlineLevel="0" collapsed="false">
      <c r="A39" s="12" t="s">
        <v>276</v>
      </c>
      <c r="B39" s="12" t="s">
        <v>265</v>
      </c>
      <c r="C39" s="13" t="s">
        <v>277</v>
      </c>
      <c r="D39" s="15" t="n">
        <v>10500</v>
      </c>
      <c r="E39" s="13" t="s">
        <v>281</v>
      </c>
      <c r="F39" s="12" t="n">
        <v>10</v>
      </c>
      <c r="G39" s="12" t="s">
        <v>460</v>
      </c>
      <c r="H39" s="13" t="s">
        <v>461</v>
      </c>
      <c r="I39" s="13" t="s">
        <v>462</v>
      </c>
    </row>
    <row r="40" customFormat="false" ht="39.75" hidden="false" customHeight="true" outlineLevel="0" collapsed="false">
      <c r="A40" s="8" t="s">
        <v>282</v>
      </c>
      <c r="B40" s="8" t="s">
        <v>265</v>
      </c>
      <c r="C40" s="9" t="s">
        <v>283</v>
      </c>
      <c r="D40" s="11" t="n">
        <v>10300</v>
      </c>
      <c r="E40" s="9" t="s">
        <v>286</v>
      </c>
      <c r="F40" s="8" t="n">
        <v>10</v>
      </c>
      <c r="G40" s="8" t="s">
        <v>460</v>
      </c>
      <c r="H40" s="9" t="s">
        <v>461</v>
      </c>
      <c r="I40" s="9" t="s">
        <v>462</v>
      </c>
    </row>
    <row r="41" customFormat="false" ht="39.75" hidden="false" customHeight="true" outlineLevel="0" collapsed="false">
      <c r="A41" s="12" t="s">
        <v>287</v>
      </c>
      <c r="B41" s="12" t="s">
        <v>265</v>
      </c>
      <c r="C41" s="13" t="s">
        <v>288</v>
      </c>
      <c r="D41" s="15" t="n">
        <v>13000</v>
      </c>
      <c r="E41" s="13" t="s">
        <v>292</v>
      </c>
      <c r="F41" s="12" t="n">
        <v>12</v>
      </c>
      <c r="G41" s="12" t="s">
        <v>460</v>
      </c>
      <c r="H41" s="13" t="s">
        <v>461</v>
      </c>
      <c r="I41" s="13" t="s">
        <v>462</v>
      </c>
    </row>
    <row r="42" customFormat="false" ht="39.75" hidden="false" customHeight="true" outlineLevel="0" collapsed="false">
      <c r="A42" s="8" t="s">
        <v>293</v>
      </c>
      <c r="B42" s="8" t="s">
        <v>265</v>
      </c>
      <c r="C42" s="9" t="s">
        <v>294</v>
      </c>
      <c r="D42" s="11" t="n">
        <v>10800</v>
      </c>
      <c r="E42" s="9" t="s">
        <v>298</v>
      </c>
      <c r="F42" s="8" t="n">
        <v>10</v>
      </c>
      <c r="G42" s="8" t="s">
        <v>460</v>
      </c>
      <c r="H42" s="9" t="s">
        <v>461</v>
      </c>
      <c r="I42" s="9" t="s">
        <v>462</v>
      </c>
    </row>
    <row r="43" customFormat="false" ht="39.75" hidden="false" customHeight="true" outlineLevel="0" collapsed="false">
      <c r="A43" s="12" t="s">
        <v>299</v>
      </c>
      <c r="B43" s="12" t="s">
        <v>265</v>
      </c>
      <c r="C43" s="13" t="s">
        <v>300</v>
      </c>
      <c r="D43" s="15" t="n">
        <v>11200</v>
      </c>
      <c r="E43" s="13" t="s">
        <v>303</v>
      </c>
      <c r="F43" s="12" t="n">
        <v>11</v>
      </c>
      <c r="G43" s="12" t="s">
        <v>460</v>
      </c>
      <c r="H43" s="13" t="s">
        <v>461</v>
      </c>
      <c r="I43" s="13" t="s">
        <v>462</v>
      </c>
    </row>
    <row r="44" customFormat="false" ht="39.75" hidden="false" customHeight="true" outlineLevel="0" collapsed="false">
      <c r="A44" s="8" t="s">
        <v>304</v>
      </c>
      <c r="B44" s="8" t="s">
        <v>305</v>
      </c>
      <c r="C44" s="9" t="s">
        <v>306</v>
      </c>
      <c r="D44" s="11" t="n">
        <v>3500</v>
      </c>
      <c r="E44" s="9" t="s">
        <v>310</v>
      </c>
      <c r="F44" s="8" t="n">
        <v>5</v>
      </c>
      <c r="G44" s="8" t="s">
        <v>460</v>
      </c>
      <c r="H44" s="9" t="s">
        <v>461</v>
      </c>
      <c r="I44" s="9" t="s">
        <v>462</v>
      </c>
    </row>
    <row r="45" customFormat="false" ht="39.75" hidden="false" customHeight="true" outlineLevel="0" collapsed="false">
      <c r="A45" s="12" t="s">
        <v>311</v>
      </c>
      <c r="B45" s="12" t="s">
        <v>305</v>
      </c>
      <c r="C45" s="13" t="s">
        <v>312</v>
      </c>
      <c r="D45" s="15" t="n">
        <v>3800</v>
      </c>
      <c r="E45" s="13" t="s">
        <v>315</v>
      </c>
      <c r="F45" s="12" t="n">
        <v>5</v>
      </c>
      <c r="G45" s="12" t="s">
        <v>460</v>
      </c>
      <c r="H45" s="13" t="s">
        <v>461</v>
      </c>
      <c r="I45" s="13" t="s">
        <v>462</v>
      </c>
    </row>
    <row r="46" customFormat="false" ht="39.75" hidden="false" customHeight="true" outlineLevel="0" collapsed="false">
      <c r="A46" s="8" t="s">
        <v>316</v>
      </c>
      <c r="B46" s="8" t="s">
        <v>305</v>
      </c>
      <c r="C46" s="9" t="s">
        <v>317</v>
      </c>
      <c r="D46" s="11" t="n">
        <v>4000</v>
      </c>
      <c r="E46" s="9" t="s">
        <v>320</v>
      </c>
      <c r="F46" s="8" t="n">
        <v>5</v>
      </c>
      <c r="G46" s="8" t="s">
        <v>460</v>
      </c>
      <c r="H46" s="9" t="s">
        <v>461</v>
      </c>
      <c r="I46" s="9" t="s">
        <v>462</v>
      </c>
    </row>
    <row r="47" customFormat="false" ht="39.75" hidden="false" customHeight="true" outlineLevel="0" collapsed="false">
      <c r="A47" s="12" t="s">
        <v>321</v>
      </c>
      <c r="B47" s="12" t="s">
        <v>305</v>
      </c>
      <c r="C47" s="13" t="s">
        <v>322</v>
      </c>
      <c r="D47" s="15" t="n">
        <v>4500</v>
      </c>
      <c r="E47" s="13" t="s">
        <v>326</v>
      </c>
      <c r="F47" s="12" t="n">
        <v>6</v>
      </c>
      <c r="G47" s="12" t="s">
        <v>460</v>
      </c>
      <c r="H47" s="13" t="s">
        <v>461</v>
      </c>
      <c r="I47" s="13" t="s">
        <v>462</v>
      </c>
    </row>
    <row r="48" customFormat="false" ht="39.75" hidden="false" customHeight="true" outlineLevel="0" collapsed="false">
      <c r="A48" s="8" t="s">
        <v>327</v>
      </c>
      <c r="B48" s="8" t="s">
        <v>328</v>
      </c>
      <c r="C48" s="9" t="s">
        <v>329</v>
      </c>
      <c r="D48" s="11" t="n">
        <v>6500</v>
      </c>
      <c r="E48" s="9" t="s">
        <v>333</v>
      </c>
      <c r="F48" s="8" t="n">
        <v>7</v>
      </c>
      <c r="G48" s="8" t="s">
        <v>460</v>
      </c>
      <c r="H48" s="9" t="s">
        <v>461</v>
      </c>
      <c r="I48" s="9" t="s">
        <v>462</v>
      </c>
    </row>
    <row r="49" customFormat="false" ht="39.75" hidden="false" customHeight="true" outlineLevel="0" collapsed="false">
      <c r="A49" s="12" t="s">
        <v>334</v>
      </c>
      <c r="B49" s="12" t="s">
        <v>328</v>
      </c>
      <c r="C49" s="13" t="s">
        <v>335</v>
      </c>
      <c r="D49" s="15" t="n">
        <v>6800</v>
      </c>
      <c r="E49" s="13" t="s">
        <v>338</v>
      </c>
      <c r="F49" s="12" t="n">
        <v>7</v>
      </c>
      <c r="G49" s="12" t="s">
        <v>460</v>
      </c>
      <c r="H49" s="13" t="s">
        <v>461</v>
      </c>
      <c r="I49" s="13" t="s">
        <v>462</v>
      </c>
    </row>
    <row r="50" customFormat="false" ht="39.75" hidden="false" customHeight="true" outlineLevel="0" collapsed="false">
      <c r="A50" s="8" t="s">
        <v>339</v>
      </c>
      <c r="B50" s="8" t="s">
        <v>328</v>
      </c>
      <c r="C50" s="9" t="s">
        <v>340</v>
      </c>
      <c r="D50" s="11" t="n">
        <v>4500</v>
      </c>
      <c r="E50" s="9" t="s">
        <v>344</v>
      </c>
      <c r="F50" s="8" t="n">
        <v>6</v>
      </c>
      <c r="G50" s="8" t="s">
        <v>460</v>
      </c>
      <c r="H50" s="9" t="s">
        <v>461</v>
      </c>
      <c r="I50" s="9" t="s">
        <v>462</v>
      </c>
    </row>
    <row r="51" customFormat="false" ht="39.75" hidden="false" customHeight="true" outlineLevel="0" collapsed="false">
      <c r="A51" s="12" t="s">
        <v>345</v>
      </c>
      <c r="B51" s="12" t="s">
        <v>328</v>
      </c>
      <c r="C51" s="13" t="s">
        <v>346</v>
      </c>
      <c r="D51" s="15" t="n">
        <v>5000</v>
      </c>
      <c r="E51" s="13" t="s">
        <v>350</v>
      </c>
      <c r="F51" s="12" t="n">
        <v>6</v>
      </c>
      <c r="G51" s="12" t="s">
        <v>460</v>
      </c>
      <c r="H51" s="13" t="s">
        <v>461</v>
      </c>
      <c r="I51" s="13" t="s">
        <v>462</v>
      </c>
    </row>
    <row r="52" customFormat="false" ht="39.75" hidden="false" customHeight="true" outlineLevel="0" collapsed="false">
      <c r="A52" s="8" t="s">
        <v>351</v>
      </c>
      <c r="B52" s="8" t="s">
        <v>352</v>
      </c>
      <c r="C52" s="9" t="s">
        <v>353</v>
      </c>
      <c r="D52" s="11" t="n">
        <v>10000</v>
      </c>
      <c r="E52" s="9" t="s">
        <v>358</v>
      </c>
      <c r="F52" s="8" t="n">
        <v>14</v>
      </c>
      <c r="G52" s="8" t="s">
        <v>460</v>
      </c>
      <c r="H52" s="9" t="s">
        <v>461</v>
      </c>
      <c r="I52" s="9" t="s">
        <v>462</v>
      </c>
    </row>
    <row r="53" customFormat="false" ht="39.75" hidden="false" customHeight="true" outlineLevel="0" collapsed="false">
      <c r="A53" s="12" t="s">
        <v>359</v>
      </c>
      <c r="B53" s="12" t="s">
        <v>352</v>
      </c>
      <c r="C53" s="13" t="s">
        <v>360</v>
      </c>
      <c r="D53" s="15" t="n">
        <v>9500</v>
      </c>
      <c r="E53" s="13" t="s">
        <v>363</v>
      </c>
      <c r="F53" s="12" t="n">
        <v>14</v>
      </c>
      <c r="G53" s="12" t="s">
        <v>460</v>
      </c>
      <c r="H53" s="13" t="s">
        <v>461</v>
      </c>
      <c r="I53" s="13" t="s">
        <v>462</v>
      </c>
    </row>
    <row r="54" customFormat="false" ht="39.75" hidden="false" customHeight="true" outlineLevel="0" collapsed="false">
      <c r="A54" s="8" t="s">
        <v>364</v>
      </c>
      <c r="B54" s="8" t="s">
        <v>352</v>
      </c>
      <c r="C54" s="9" t="s">
        <v>365</v>
      </c>
      <c r="D54" s="11" t="n">
        <v>8500</v>
      </c>
      <c r="E54" s="9" t="s">
        <v>368</v>
      </c>
      <c r="F54" s="8" t="n">
        <v>13</v>
      </c>
      <c r="G54" s="8" t="s">
        <v>460</v>
      </c>
      <c r="H54" s="9" t="s">
        <v>461</v>
      </c>
      <c r="I54" s="9" t="s">
        <v>462</v>
      </c>
    </row>
    <row r="55" customFormat="false" ht="39.75" hidden="false" customHeight="true" outlineLevel="0" collapsed="false">
      <c r="A55" s="12" t="s">
        <v>369</v>
      </c>
      <c r="B55" s="12" t="s">
        <v>352</v>
      </c>
      <c r="C55" s="13" t="s">
        <v>370</v>
      </c>
      <c r="D55" s="15" t="n">
        <v>11000</v>
      </c>
      <c r="E55" s="13" t="s">
        <v>374</v>
      </c>
      <c r="F55" s="12" t="n">
        <v>15</v>
      </c>
      <c r="G55" s="12" t="s">
        <v>460</v>
      </c>
      <c r="H55" s="13" t="s">
        <v>461</v>
      </c>
      <c r="I55" s="13" t="s">
        <v>462</v>
      </c>
    </row>
    <row r="56" customFormat="false" ht="39.75" hidden="false" customHeight="true" outlineLevel="0" collapsed="false">
      <c r="A56" s="8" t="s">
        <v>375</v>
      </c>
      <c r="B56" s="8" t="s">
        <v>376</v>
      </c>
      <c r="C56" s="9" t="s">
        <v>377</v>
      </c>
      <c r="D56" s="11" t="n">
        <v>14500</v>
      </c>
      <c r="E56" s="9" t="s">
        <v>381</v>
      </c>
      <c r="F56" s="8" t="n">
        <v>16</v>
      </c>
      <c r="G56" s="8" t="s">
        <v>460</v>
      </c>
      <c r="H56" s="9" t="s">
        <v>461</v>
      </c>
      <c r="I56" s="9" t="s">
        <v>462</v>
      </c>
    </row>
    <row r="57" customFormat="false" ht="39.75" hidden="false" customHeight="true" outlineLevel="0" collapsed="false">
      <c r="A57" s="12" t="s">
        <v>382</v>
      </c>
      <c r="B57" s="12" t="s">
        <v>376</v>
      </c>
      <c r="C57" s="13" t="s">
        <v>383</v>
      </c>
      <c r="D57" s="15" t="n">
        <v>12500</v>
      </c>
      <c r="E57" s="13" t="s">
        <v>387</v>
      </c>
      <c r="F57" s="12" t="n">
        <v>15</v>
      </c>
      <c r="G57" s="12" t="s">
        <v>460</v>
      </c>
      <c r="H57" s="13" t="s">
        <v>461</v>
      </c>
      <c r="I57" s="13" t="s">
        <v>462</v>
      </c>
    </row>
    <row r="58" customFormat="false" ht="39.75" hidden="false" customHeight="true" outlineLevel="0" collapsed="false">
      <c r="A58" s="8" t="s">
        <v>388</v>
      </c>
      <c r="B58" s="8" t="s">
        <v>376</v>
      </c>
      <c r="C58" s="9" t="s">
        <v>390</v>
      </c>
      <c r="D58" s="11" t="n">
        <v>22000</v>
      </c>
      <c r="E58" s="9" t="s">
        <v>394</v>
      </c>
      <c r="F58" s="8" t="n">
        <v>18</v>
      </c>
      <c r="G58" s="8" t="s">
        <v>460</v>
      </c>
      <c r="H58" s="9" t="s">
        <v>461</v>
      </c>
      <c r="I58" s="9" t="s">
        <v>462</v>
      </c>
    </row>
    <row r="59" customFormat="false" ht="39.75" hidden="false" customHeight="true" outlineLevel="0" collapsed="false">
      <c r="A59" s="12" t="s">
        <v>395</v>
      </c>
      <c r="B59" s="12" t="s">
        <v>396</v>
      </c>
      <c r="C59" s="13" t="s">
        <v>397</v>
      </c>
      <c r="D59" s="15" t="n">
        <v>1000</v>
      </c>
      <c r="E59" s="13" t="s">
        <v>400</v>
      </c>
      <c r="F59" s="12" t="n">
        <v>0</v>
      </c>
      <c r="G59" s="12" t="s">
        <v>460</v>
      </c>
      <c r="H59" s="13" t="s">
        <v>461</v>
      </c>
      <c r="I59" s="13" t="s">
        <v>462</v>
      </c>
    </row>
    <row r="60" customFormat="false" ht="39.75" hidden="false" customHeight="true" outlineLevel="0" collapsed="false">
      <c r="A60" s="8" t="s">
        <v>401</v>
      </c>
      <c r="B60" s="8" t="s">
        <v>396</v>
      </c>
      <c r="C60" s="9" t="s">
        <v>402</v>
      </c>
      <c r="D60" s="11" t="n">
        <v>1500</v>
      </c>
      <c r="E60" s="9" t="s">
        <v>406</v>
      </c>
      <c r="F60" s="8" t="n">
        <v>0</v>
      </c>
      <c r="G60" s="8" t="s">
        <v>460</v>
      </c>
      <c r="H60" s="9" t="s">
        <v>461</v>
      </c>
      <c r="I60" s="9" t="s">
        <v>462</v>
      </c>
    </row>
    <row r="61" customFormat="false" ht="39.75" hidden="false" customHeight="true" outlineLevel="0" collapsed="false">
      <c r="A61" s="12" t="s">
        <v>407</v>
      </c>
      <c r="B61" s="12" t="s">
        <v>396</v>
      </c>
      <c r="C61" s="13" t="s">
        <v>408</v>
      </c>
      <c r="D61" s="15" t="n">
        <v>2000</v>
      </c>
      <c r="E61" s="13" t="s">
        <v>412</v>
      </c>
      <c r="F61" s="12" t="n">
        <v>3</v>
      </c>
      <c r="G61" s="12" t="s">
        <v>460</v>
      </c>
      <c r="H61" s="13" t="s">
        <v>461</v>
      </c>
      <c r="I61" s="13" t="s">
        <v>462</v>
      </c>
    </row>
    <row r="62" customFormat="false" ht="39.75" hidden="false" customHeight="true" outlineLevel="0" collapsed="false">
      <c r="A62" s="8" t="s">
        <v>413</v>
      </c>
      <c r="B62" s="8" t="s">
        <v>396</v>
      </c>
      <c r="C62" s="9" t="s">
        <v>414</v>
      </c>
      <c r="D62" s="11" t="n">
        <v>2500</v>
      </c>
      <c r="E62" s="9" t="s">
        <v>418</v>
      </c>
      <c r="F62" s="8" t="n">
        <v>4</v>
      </c>
      <c r="G62" s="8" t="s">
        <v>460</v>
      </c>
      <c r="H62" s="9" t="s">
        <v>461</v>
      </c>
      <c r="I62" s="9" t="s">
        <v>462</v>
      </c>
    </row>
    <row r="63" customFormat="false" ht="39.75" hidden="false" customHeight="true" outlineLevel="0" collapsed="false">
      <c r="A63" s="12" t="s">
        <v>419</v>
      </c>
      <c r="B63" s="12" t="s">
        <v>396</v>
      </c>
      <c r="C63" s="13" t="s">
        <v>420</v>
      </c>
      <c r="D63" s="15" t="n">
        <v>2500</v>
      </c>
      <c r="E63" s="13" t="s">
        <v>424</v>
      </c>
      <c r="F63" s="12" t="n">
        <v>4</v>
      </c>
      <c r="G63" s="12" t="s">
        <v>460</v>
      </c>
      <c r="H63" s="13" t="s">
        <v>461</v>
      </c>
      <c r="I63" s="13" t="s">
        <v>462</v>
      </c>
    </row>
    <row r="64" customFormat="false" ht="39.75" hidden="false" customHeight="true" outlineLevel="0" collapsed="false">
      <c r="A64" s="8" t="s">
        <v>425</v>
      </c>
      <c r="B64" s="8" t="s">
        <v>396</v>
      </c>
      <c r="C64" s="9" t="s">
        <v>426</v>
      </c>
      <c r="D64" s="11" t="n">
        <v>800</v>
      </c>
      <c r="E64" s="9" t="s">
        <v>430</v>
      </c>
      <c r="F64" s="8" t="n">
        <v>1</v>
      </c>
      <c r="G64" s="8" t="s">
        <v>460</v>
      </c>
      <c r="H64" s="9" t="s">
        <v>461</v>
      </c>
      <c r="I64" s="9" t="s">
        <v>462</v>
      </c>
    </row>
    <row r="65" customFormat="false" ht="39.75" hidden="false" customHeight="true" outlineLevel="0" collapsed="false">
      <c r="A65" s="12" t="s">
        <v>431</v>
      </c>
      <c r="B65" s="12" t="s">
        <v>432</v>
      </c>
      <c r="C65" s="13" t="s">
        <v>433</v>
      </c>
      <c r="D65" s="15" t="n">
        <v>4000</v>
      </c>
      <c r="E65" s="13" t="s">
        <v>437</v>
      </c>
      <c r="F65" s="12" t="n">
        <v>0</v>
      </c>
      <c r="G65" s="12" t="s">
        <v>460</v>
      </c>
      <c r="H65" s="13" t="s">
        <v>461</v>
      </c>
      <c r="I65" s="13" t="s">
        <v>462</v>
      </c>
    </row>
    <row r="66" customFormat="false" ht="39.75" hidden="false" customHeight="true" outlineLevel="0" collapsed="false">
      <c r="A66" s="8" t="s">
        <v>438</v>
      </c>
      <c r="B66" s="8" t="s">
        <v>432</v>
      </c>
      <c r="C66" s="9" t="s">
        <v>439</v>
      </c>
      <c r="D66" s="11" t="n">
        <v>5500</v>
      </c>
      <c r="E66" s="9" t="s">
        <v>443</v>
      </c>
      <c r="F66" s="8" t="n">
        <v>0</v>
      </c>
      <c r="G66" s="8" t="s">
        <v>460</v>
      </c>
      <c r="H66" s="9" t="s">
        <v>461</v>
      </c>
      <c r="I66" s="9" t="s">
        <v>462</v>
      </c>
    </row>
  </sheetData>
  <autoFilter ref="A1:I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8"/>
    <col collapsed="false" customWidth="true" hidden="false" outlineLevel="0" max="3" min="3" style="1" width="62"/>
    <col collapsed="false" customWidth="true" hidden="false" outlineLevel="0" max="4" min="4" style="1" width="12"/>
    <col collapsed="false" customWidth="true" hidden="false" outlineLevel="0" max="5" min="5" style="1" width="18"/>
  </cols>
  <sheetData>
    <row r="1" customFormat="false" ht="23.25" hidden="false" customHeight="true" outlineLevel="0" collapsed="false">
      <c r="A1" s="21" t="s">
        <v>444</v>
      </c>
      <c r="B1" s="21" t="s">
        <v>463</v>
      </c>
      <c r="C1" s="21" t="s">
        <v>464</v>
      </c>
      <c r="D1" s="21" t="s">
        <v>465</v>
      </c>
      <c r="E1" s="21" t="s">
        <v>466</v>
      </c>
    </row>
    <row r="2" customFormat="false" ht="21.75" hidden="false" customHeight="true" outlineLevel="0" collapsed="false">
      <c r="A2" s="8" t="n">
        <v>1</v>
      </c>
      <c r="B2" s="23" t="s">
        <v>34</v>
      </c>
      <c r="C2" s="23" t="s">
        <v>467</v>
      </c>
      <c r="D2" s="8" t="n">
        <v>7</v>
      </c>
      <c r="E2" s="8" t="n">
        <v>1</v>
      </c>
    </row>
    <row r="3" customFormat="false" ht="21.75" hidden="false" customHeight="true" outlineLevel="0" collapsed="false">
      <c r="A3" s="12" t="n">
        <v>2</v>
      </c>
      <c r="B3" s="24" t="s">
        <v>82</v>
      </c>
      <c r="C3" s="24" t="s">
        <v>468</v>
      </c>
      <c r="D3" s="12" t="n">
        <v>4</v>
      </c>
      <c r="E3" s="12" t="n">
        <v>2</v>
      </c>
    </row>
    <row r="4" customFormat="false" ht="21.75" hidden="false" customHeight="true" outlineLevel="0" collapsed="false">
      <c r="A4" s="8" t="n">
        <v>3</v>
      </c>
      <c r="B4" s="23" t="s">
        <v>112</v>
      </c>
      <c r="C4" s="23" t="s">
        <v>469</v>
      </c>
      <c r="D4" s="8" t="n">
        <v>4</v>
      </c>
      <c r="E4" s="8" t="n">
        <v>3</v>
      </c>
    </row>
    <row r="5" customFormat="false" ht="21.75" hidden="false" customHeight="true" outlineLevel="0" collapsed="false">
      <c r="A5" s="12" t="n">
        <v>4</v>
      </c>
      <c r="B5" s="24" t="s">
        <v>137</v>
      </c>
      <c r="C5" s="24" t="s">
        <v>470</v>
      </c>
      <c r="D5" s="12" t="n">
        <v>4</v>
      </c>
      <c r="E5" s="12" t="n">
        <v>4</v>
      </c>
    </row>
    <row r="6" customFormat="false" ht="21.75" hidden="false" customHeight="true" outlineLevel="0" collapsed="false">
      <c r="A6" s="8" t="n">
        <v>5</v>
      </c>
      <c r="B6" s="23" t="s">
        <v>166</v>
      </c>
      <c r="C6" s="23" t="s">
        <v>471</v>
      </c>
      <c r="D6" s="8" t="n">
        <v>5</v>
      </c>
      <c r="E6" s="8" t="n">
        <v>5</v>
      </c>
    </row>
    <row r="7" customFormat="false" ht="21.75" hidden="false" customHeight="true" outlineLevel="0" collapsed="false">
      <c r="A7" s="12" t="n">
        <v>6</v>
      </c>
      <c r="B7" s="24" t="s">
        <v>197</v>
      </c>
      <c r="C7" s="24" t="s">
        <v>472</v>
      </c>
      <c r="D7" s="12" t="n">
        <v>6</v>
      </c>
      <c r="E7" s="12" t="n">
        <v>6</v>
      </c>
    </row>
    <row r="8" customFormat="false" ht="21.75" hidden="false" customHeight="true" outlineLevel="0" collapsed="false">
      <c r="A8" s="8" t="n">
        <v>7</v>
      </c>
      <c r="B8" s="23" t="s">
        <v>234</v>
      </c>
      <c r="C8" s="23" t="s">
        <v>473</v>
      </c>
      <c r="D8" s="8" t="n">
        <v>5</v>
      </c>
      <c r="E8" s="8" t="n">
        <v>7</v>
      </c>
    </row>
    <row r="9" customFormat="false" ht="21.75" hidden="false" customHeight="true" outlineLevel="0" collapsed="false">
      <c r="A9" s="12" t="n">
        <v>8</v>
      </c>
      <c r="B9" s="24" t="s">
        <v>265</v>
      </c>
      <c r="C9" s="24" t="s">
        <v>474</v>
      </c>
      <c r="D9" s="12" t="n">
        <v>7</v>
      </c>
      <c r="E9" s="12" t="n">
        <v>8</v>
      </c>
    </row>
    <row r="10" customFormat="false" ht="21.75" hidden="false" customHeight="true" outlineLevel="0" collapsed="false">
      <c r="A10" s="8" t="n">
        <v>9</v>
      </c>
      <c r="B10" s="23" t="s">
        <v>305</v>
      </c>
      <c r="C10" s="23" t="s">
        <v>475</v>
      </c>
      <c r="D10" s="8" t="n">
        <v>4</v>
      </c>
      <c r="E10" s="8" t="n">
        <v>9</v>
      </c>
    </row>
    <row r="11" customFormat="false" ht="21.75" hidden="false" customHeight="true" outlineLevel="0" collapsed="false">
      <c r="A11" s="12" t="n">
        <v>10</v>
      </c>
      <c r="B11" s="24" t="s">
        <v>328</v>
      </c>
      <c r="C11" s="24" t="s">
        <v>476</v>
      </c>
      <c r="D11" s="12" t="n">
        <v>4</v>
      </c>
      <c r="E11" s="12" t="n">
        <v>10</v>
      </c>
    </row>
    <row r="12" customFormat="false" ht="21.75" hidden="false" customHeight="true" outlineLevel="0" collapsed="false">
      <c r="A12" s="8" t="n">
        <v>11</v>
      </c>
      <c r="B12" s="23" t="s">
        <v>352</v>
      </c>
      <c r="C12" s="23" t="s">
        <v>477</v>
      </c>
      <c r="D12" s="8" t="n">
        <v>4</v>
      </c>
      <c r="E12" s="8" t="n">
        <v>11</v>
      </c>
    </row>
    <row r="13" customFormat="false" ht="21.75" hidden="false" customHeight="true" outlineLevel="0" collapsed="false">
      <c r="A13" s="12" t="n">
        <v>12</v>
      </c>
      <c r="B13" s="24" t="s">
        <v>376</v>
      </c>
      <c r="C13" s="24" t="s">
        <v>478</v>
      </c>
      <c r="D13" s="12" t="n">
        <v>3</v>
      </c>
      <c r="E13" s="12" t="n">
        <v>12</v>
      </c>
    </row>
    <row r="14" customFormat="false" ht="21.75" hidden="false" customHeight="true" outlineLevel="0" collapsed="false">
      <c r="A14" s="8" t="n">
        <v>13</v>
      </c>
      <c r="B14" s="23" t="s">
        <v>396</v>
      </c>
      <c r="C14" s="23" t="s">
        <v>479</v>
      </c>
      <c r="D14" s="8" t="n">
        <v>6</v>
      </c>
      <c r="E14" s="8" t="n">
        <v>13</v>
      </c>
    </row>
    <row r="15" customFormat="false" ht="21.75" hidden="false" customHeight="true" outlineLevel="0" collapsed="false">
      <c r="A15" s="12" t="n">
        <v>14</v>
      </c>
      <c r="B15" s="24" t="s">
        <v>432</v>
      </c>
      <c r="C15" s="24" t="s">
        <v>480</v>
      </c>
      <c r="D15" s="12" t="n">
        <v>2</v>
      </c>
      <c r="E15" s="12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72"/>
    <col collapsed="false" customWidth="true" hidden="false" outlineLevel="0" max="3" min="3" style="1" width="28"/>
    <col collapsed="false" customWidth="true" hidden="false" outlineLevel="0" max="4" min="4" style="1" width="24"/>
  </cols>
  <sheetData>
    <row r="1" customFormat="false" ht="24" hidden="false" customHeight="true" outlineLevel="0" collapsed="false">
      <c r="A1" s="7" t="s">
        <v>481</v>
      </c>
      <c r="B1" s="7" t="s">
        <v>482</v>
      </c>
      <c r="C1" s="7" t="s">
        <v>483</v>
      </c>
      <c r="D1" s="7" t="s">
        <v>484</v>
      </c>
    </row>
    <row r="2" customFormat="false" ht="36" hidden="false" customHeight="true" outlineLevel="0" collapsed="false">
      <c r="A2" s="9" t="s">
        <v>485</v>
      </c>
      <c r="B2" s="9" t="s">
        <v>486</v>
      </c>
      <c r="C2" s="9" t="s">
        <v>487</v>
      </c>
      <c r="D2" s="9" t="s">
        <v>488</v>
      </c>
    </row>
    <row r="3" customFormat="false" ht="36" hidden="false" customHeight="true" outlineLevel="0" collapsed="false">
      <c r="A3" s="13" t="s">
        <v>489</v>
      </c>
      <c r="B3" s="13" t="s">
        <v>490</v>
      </c>
      <c r="C3" s="13" t="s">
        <v>491</v>
      </c>
      <c r="D3" s="13" t="s">
        <v>492</v>
      </c>
    </row>
    <row r="4" customFormat="false" ht="36" hidden="false" customHeight="true" outlineLevel="0" collapsed="false">
      <c r="A4" s="9" t="s">
        <v>493</v>
      </c>
      <c r="B4" s="9" t="s">
        <v>494</v>
      </c>
      <c r="C4" s="9" t="s">
        <v>495</v>
      </c>
      <c r="D4" s="9" t="s">
        <v>496</v>
      </c>
    </row>
    <row r="5" customFormat="false" ht="36" hidden="false" customHeight="true" outlineLevel="0" collapsed="false">
      <c r="A5" s="13" t="s">
        <v>497</v>
      </c>
      <c r="B5" s="13" t="s">
        <v>498</v>
      </c>
      <c r="C5" s="13" t="s">
        <v>499</v>
      </c>
      <c r="D5" s="13" t="s">
        <v>500</v>
      </c>
    </row>
    <row r="6" customFormat="false" ht="36" hidden="false" customHeight="true" outlineLevel="0" collapsed="false">
      <c r="A6" s="9" t="s">
        <v>501</v>
      </c>
      <c r="B6" s="9" t="s">
        <v>502</v>
      </c>
      <c r="C6" s="9" t="s">
        <v>503</v>
      </c>
      <c r="D6" s="9" t="s">
        <v>504</v>
      </c>
    </row>
    <row r="7" customFormat="false" ht="36" hidden="false" customHeight="true" outlineLevel="0" collapsed="false">
      <c r="A7" s="13" t="s">
        <v>505</v>
      </c>
      <c r="B7" s="13" t="s">
        <v>506</v>
      </c>
      <c r="C7" s="13" t="s">
        <v>507</v>
      </c>
      <c r="D7" s="13" t="s">
        <v>508</v>
      </c>
    </row>
    <row r="8" customFormat="false" ht="36" hidden="false" customHeight="true" outlineLevel="0" collapsed="false">
      <c r="A8" s="9" t="s">
        <v>509</v>
      </c>
      <c r="B8" s="9" t="s">
        <v>510</v>
      </c>
      <c r="C8" s="9" t="s">
        <v>511</v>
      </c>
      <c r="D8" s="9" t="s">
        <v>512</v>
      </c>
    </row>
    <row r="9" customFormat="false" ht="36" hidden="false" customHeight="true" outlineLevel="0" collapsed="false">
      <c r="A9" s="13" t="s">
        <v>513</v>
      </c>
      <c r="B9" s="13" t="s">
        <v>514</v>
      </c>
      <c r="C9" s="13" t="s">
        <v>515</v>
      </c>
      <c r="D9" s="13" t="s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27.75" hidden="false" customHeight="true" outlineLevel="0" collapsed="false">
      <c r="A1" s="25" t="s">
        <v>517</v>
      </c>
      <c r="B1" s="25"/>
    </row>
    <row r="2" customFormat="false" ht="15" hidden="false" customHeight="true" outlineLevel="0" collapsed="false">
      <c r="A2" s="26" t="s">
        <v>518</v>
      </c>
      <c r="B2" s="26" t="s">
        <v>519</v>
      </c>
    </row>
    <row r="3" customFormat="false" ht="48" hidden="false" customHeight="true" outlineLevel="0" collapsed="false">
      <c r="A3" s="27" t="s">
        <v>520</v>
      </c>
      <c r="B3" s="13" t="s">
        <v>521</v>
      </c>
    </row>
    <row r="4" customFormat="false" ht="48" hidden="false" customHeight="true" outlineLevel="0" collapsed="false">
      <c r="A4" s="27" t="s">
        <v>522</v>
      </c>
      <c r="B4" s="9" t="s">
        <v>523</v>
      </c>
    </row>
    <row r="5" customFormat="false" ht="48" hidden="false" customHeight="true" outlineLevel="0" collapsed="false">
      <c r="A5" s="27" t="s">
        <v>524</v>
      </c>
      <c r="B5" s="13" t="s">
        <v>525</v>
      </c>
    </row>
    <row r="6" customFormat="false" ht="48" hidden="false" customHeight="true" outlineLevel="0" collapsed="false">
      <c r="A6" s="27" t="s">
        <v>526</v>
      </c>
      <c r="B6" s="9" t="s">
        <v>527</v>
      </c>
    </row>
    <row r="7" customFormat="false" ht="48" hidden="false" customHeight="true" outlineLevel="0" collapsed="false">
      <c r="A7" s="27" t="s">
        <v>528</v>
      </c>
      <c r="B7" s="13" t="s">
        <v>529</v>
      </c>
    </row>
    <row r="8" customFormat="false" ht="48" hidden="false" customHeight="true" outlineLevel="0" collapsed="false">
      <c r="A8" s="27" t="s">
        <v>530</v>
      </c>
      <c r="B8" s="9" t="s">
        <v>531</v>
      </c>
    </row>
    <row r="9" customFormat="false" ht="48" hidden="false" customHeight="true" outlineLevel="0" collapsed="false">
      <c r="A9" s="27" t="s">
        <v>197</v>
      </c>
      <c r="B9" s="13" t="s">
        <v>532</v>
      </c>
    </row>
    <row r="10" customFormat="false" ht="48" hidden="false" customHeight="true" outlineLevel="0" collapsed="false">
      <c r="A10" s="27" t="s">
        <v>32</v>
      </c>
      <c r="B10" s="9" t="s">
        <v>533</v>
      </c>
    </row>
    <row r="11" customFormat="false" ht="48" hidden="false" customHeight="true" outlineLevel="0" collapsed="false">
      <c r="A11" s="27" t="s">
        <v>534</v>
      </c>
      <c r="B11" s="13" t="s">
        <v>535</v>
      </c>
    </row>
    <row r="12" customFormat="false" ht="48" hidden="false" customHeight="true" outlineLevel="0" collapsed="false">
      <c r="A12" s="27" t="s">
        <v>536</v>
      </c>
      <c r="B12" s="9" t="s">
        <v>537</v>
      </c>
    </row>
    <row r="13" customFormat="false" ht="48" hidden="false" customHeight="true" outlineLevel="0" collapsed="false">
      <c r="A13" s="27" t="s">
        <v>538</v>
      </c>
      <c r="B13" s="13" t="s">
        <v>539</v>
      </c>
    </row>
    <row r="14" customFormat="false" ht="48" hidden="false" customHeight="true" outlineLevel="0" collapsed="false">
      <c r="A14" s="27" t="s">
        <v>540</v>
      </c>
      <c r="B14" s="9" t="s">
        <v>541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true" outlineLevel="0" max="9" min="8" style="0" width="13"/>
  </cols>
  <sheetData>
    <row r="1" customFormat="false" ht="25.5" hidden="false" customHeight="true" outlineLevel="0" collapsed="false">
      <c r="A1" s="28" t="s">
        <v>542</v>
      </c>
      <c r="B1" s="28"/>
      <c r="C1" s="28"/>
      <c r="H1" s="0" t="s">
        <v>543</v>
      </c>
      <c r="I1" s="0" t="s">
        <v>544</v>
      </c>
    </row>
    <row r="2" customFormat="false" ht="15" hidden="false" customHeight="false" outlineLevel="0" collapsed="false">
      <c r="A2" s="29" t="s">
        <v>543</v>
      </c>
      <c r="B2" s="29" t="s">
        <v>545</v>
      </c>
      <c r="C2" s="29" t="s">
        <v>546</v>
      </c>
      <c r="H2" s="0" t="s">
        <v>34</v>
      </c>
      <c r="I2" s="0" t="n">
        <v>7800</v>
      </c>
    </row>
    <row r="3" customFormat="false" ht="15" hidden="false" customHeight="false" outlineLevel="0" collapsed="false">
      <c r="A3" s="30" t="s">
        <v>34</v>
      </c>
      <c r="B3" s="31" t="n">
        <f aca="false">COUNTIF($H$2:$H$66,A3)</f>
        <v>7</v>
      </c>
      <c r="C3" s="32" t="n">
        <f aca="false">ROUND(AVERAGEIF($H$2:$H$66,A3,$I$2:$I$66),0)</f>
        <v>5471</v>
      </c>
      <c r="H3" s="0" t="s">
        <v>34</v>
      </c>
      <c r="I3" s="0" t="n">
        <v>5500</v>
      </c>
    </row>
    <row r="4" customFormat="false" ht="15" hidden="false" customHeight="false" outlineLevel="0" collapsed="false">
      <c r="A4" s="33" t="s">
        <v>82</v>
      </c>
      <c r="B4" s="34" t="n">
        <f aca="false">COUNTIF($H$2:$H$66,A4)</f>
        <v>4</v>
      </c>
      <c r="C4" s="35" t="n">
        <f aca="false">ROUND(AVERAGEIF($H$2:$H$66,A4,$I$2:$I$66),0)</f>
        <v>44625</v>
      </c>
      <c r="H4" s="0" t="s">
        <v>34</v>
      </c>
      <c r="I4" s="0" t="n">
        <v>4500</v>
      </c>
    </row>
    <row r="5" customFormat="false" ht="15" hidden="false" customHeight="false" outlineLevel="0" collapsed="false">
      <c r="A5" s="30" t="s">
        <v>112</v>
      </c>
      <c r="B5" s="31" t="n">
        <f aca="false">COUNTIF($H$2:$H$66,A5)</f>
        <v>4</v>
      </c>
      <c r="C5" s="32" t="n">
        <f aca="false">ROUND(AVERAGEIF($H$2:$H$66,A5,$I$2:$I$66),0)</f>
        <v>33375</v>
      </c>
      <c r="H5" s="0" t="s">
        <v>34</v>
      </c>
      <c r="I5" s="0" t="n">
        <v>4500</v>
      </c>
    </row>
    <row r="6" customFormat="false" ht="15" hidden="false" customHeight="false" outlineLevel="0" collapsed="false">
      <c r="A6" s="33" t="s">
        <v>137</v>
      </c>
      <c r="B6" s="34" t="n">
        <f aca="false">COUNTIF($H$2:$H$66,A6)</f>
        <v>4</v>
      </c>
      <c r="C6" s="35" t="n">
        <f aca="false">ROUND(AVERAGEIF($H$2:$H$66,A6,$I$2:$I$66),0)</f>
        <v>49750</v>
      </c>
      <c r="H6" s="0" t="s">
        <v>34</v>
      </c>
      <c r="I6" s="0" t="n">
        <v>6000</v>
      </c>
    </row>
    <row r="7" customFormat="false" ht="15" hidden="false" customHeight="false" outlineLevel="0" collapsed="false">
      <c r="A7" s="30" t="s">
        <v>166</v>
      </c>
      <c r="B7" s="31" t="n">
        <f aca="false">COUNTIF($H$2:$H$66,A7)</f>
        <v>5</v>
      </c>
      <c r="C7" s="32" t="n">
        <f aca="false">ROUND(AVERAGEIF($H$2:$H$66,A7,$I$2:$I$66),0)</f>
        <v>5160</v>
      </c>
      <c r="H7" s="0" t="s">
        <v>34</v>
      </c>
      <c r="I7" s="0" t="n">
        <v>3500</v>
      </c>
    </row>
    <row r="8" customFormat="false" ht="15" hidden="false" customHeight="false" outlineLevel="0" collapsed="false">
      <c r="A8" s="33" t="s">
        <v>197</v>
      </c>
      <c r="B8" s="34" t="n">
        <f aca="false">COUNTIF($H$2:$H$66,A8)</f>
        <v>6</v>
      </c>
      <c r="C8" s="35" t="n">
        <f aca="false">ROUND(AVERAGEIF($H$2:$H$66,A8,$I$2:$I$66),0)</f>
        <v>10833</v>
      </c>
      <c r="H8" s="0" t="s">
        <v>34</v>
      </c>
      <c r="I8" s="0" t="n">
        <v>6500</v>
      </c>
    </row>
    <row r="9" customFormat="false" ht="15" hidden="false" customHeight="false" outlineLevel="0" collapsed="false">
      <c r="A9" s="30" t="s">
        <v>234</v>
      </c>
      <c r="B9" s="31" t="n">
        <f aca="false">COUNTIF($H$2:$H$66,A9)</f>
        <v>5</v>
      </c>
      <c r="C9" s="32" t="n">
        <f aca="false">ROUND(AVERAGEIF($H$2:$H$66,A9,$I$2:$I$66),0)</f>
        <v>7400</v>
      </c>
      <c r="H9" s="0" t="s">
        <v>82</v>
      </c>
      <c r="I9" s="0" t="n">
        <v>24000</v>
      </c>
    </row>
    <row r="10" customFormat="false" ht="15" hidden="false" customHeight="false" outlineLevel="0" collapsed="false">
      <c r="A10" s="33" t="s">
        <v>265</v>
      </c>
      <c r="B10" s="34" t="n">
        <f aca="false">COUNTIF($H$2:$H$66,A10)</f>
        <v>7</v>
      </c>
      <c r="C10" s="35" t="n">
        <f aca="false">ROUND(AVERAGEIF($H$2:$H$66,A10,$I$2:$I$66),0)</f>
        <v>10886</v>
      </c>
      <c r="H10" s="0" t="s">
        <v>82</v>
      </c>
      <c r="I10" s="0" t="n">
        <v>39000</v>
      </c>
    </row>
    <row r="11" customFormat="false" ht="15" hidden="false" customHeight="false" outlineLevel="0" collapsed="false">
      <c r="A11" s="30" t="s">
        <v>305</v>
      </c>
      <c r="B11" s="31" t="n">
        <f aca="false">COUNTIF($H$2:$H$66,A11)</f>
        <v>4</v>
      </c>
      <c r="C11" s="32" t="n">
        <f aca="false">ROUND(AVERAGEIF($H$2:$H$66,A11,$I$2:$I$66),0)</f>
        <v>3950</v>
      </c>
      <c r="H11" s="0" t="s">
        <v>82</v>
      </c>
      <c r="I11" s="0" t="n">
        <v>48000</v>
      </c>
    </row>
    <row r="12" customFormat="false" ht="15" hidden="false" customHeight="false" outlineLevel="0" collapsed="false">
      <c r="A12" s="33" t="s">
        <v>328</v>
      </c>
      <c r="B12" s="34" t="n">
        <f aca="false">COUNTIF($H$2:$H$66,A12)</f>
        <v>4</v>
      </c>
      <c r="C12" s="35" t="n">
        <f aca="false">ROUND(AVERAGEIF($H$2:$H$66,A12,$I$2:$I$66),0)</f>
        <v>5700</v>
      </c>
      <c r="H12" s="0" t="s">
        <v>82</v>
      </c>
      <c r="I12" s="0" t="n">
        <v>67500</v>
      </c>
    </row>
    <row r="13" customFormat="false" ht="15" hidden="false" customHeight="false" outlineLevel="0" collapsed="false">
      <c r="A13" s="30" t="s">
        <v>352</v>
      </c>
      <c r="B13" s="31" t="n">
        <f aca="false">COUNTIF($H$2:$H$66,A13)</f>
        <v>4</v>
      </c>
      <c r="C13" s="32" t="n">
        <f aca="false">ROUND(AVERAGEIF($H$2:$H$66,A13,$I$2:$I$66),0)</f>
        <v>9750</v>
      </c>
      <c r="H13" s="0" t="s">
        <v>112</v>
      </c>
      <c r="I13" s="0" t="n">
        <v>18000</v>
      </c>
    </row>
    <row r="14" customFormat="false" ht="15" hidden="false" customHeight="false" outlineLevel="0" collapsed="false">
      <c r="A14" s="33" t="s">
        <v>376</v>
      </c>
      <c r="B14" s="34" t="n">
        <f aca="false">COUNTIF($H$2:$H$66,A14)</f>
        <v>3</v>
      </c>
      <c r="C14" s="35" t="n">
        <f aca="false">ROUND(AVERAGEIF($H$2:$H$66,A14,$I$2:$I$66),0)</f>
        <v>16333</v>
      </c>
      <c r="H14" s="0" t="s">
        <v>112</v>
      </c>
      <c r="I14" s="0" t="n">
        <v>29500</v>
      </c>
    </row>
    <row r="15" customFormat="false" ht="15" hidden="false" customHeight="false" outlineLevel="0" collapsed="false">
      <c r="A15" s="30" t="s">
        <v>396</v>
      </c>
      <c r="B15" s="31" t="n">
        <f aca="false">COUNTIF($H$2:$H$66,A15)</f>
        <v>6</v>
      </c>
      <c r="C15" s="32" t="n">
        <f aca="false">ROUND(AVERAGEIF($H$2:$H$66,A15,$I$2:$I$66),0)</f>
        <v>1717</v>
      </c>
      <c r="H15" s="0" t="s">
        <v>112</v>
      </c>
      <c r="I15" s="0" t="n">
        <v>36000</v>
      </c>
    </row>
    <row r="16" customFormat="false" ht="15" hidden="false" customHeight="false" outlineLevel="0" collapsed="false">
      <c r="A16" s="33" t="s">
        <v>432</v>
      </c>
      <c r="B16" s="34" t="n">
        <f aca="false">COUNTIF($H$2:$H$66,A16)</f>
        <v>2</v>
      </c>
      <c r="C16" s="35" t="n">
        <f aca="false">ROUND(AVERAGEIF($H$2:$H$66,A16,$I$2:$I$66),0)</f>
        <v>4750</v>
      </c>
      <c r="H16" s="0" t="s">
        <v>112</v>
      </c>
      <c r="I16" s="0" t="n">
        <v>50000</v>
      </c>
    </row>
    <row r="17" customFormat="false" ht="15" hidden="false" customHeight="false" outlineLevel="0" collapsed="false">
      <c r="A17" s="36" t="s">
        <v>547</v>
      </c>
      <c r="B17" s="37" t="n">
        <f aca="false">SUM(B3:B16)</f>
        <v>65</v>
      </c>
      <c r="C17" s="38" t="n">
        <f aca="false">ROUND(AVERAGE(I2:I66),0)</f>
        <v>13842</v>
      </c>
      <c r="H17" s="0" t="s">
        <v>137</v>
      </c>
      <c r="I17" s="0" t="n">
        <v>42000</v>
      </c>
    </row>
    <row r="18" customFormat="false" ht="15" hidden="false" customHeight="false" outlineLevel="0" collapsed="false">
      <c r="H18" s="0" t="s">
        <v>137</v>
      </c>
      <c r="I18" s="0" t="n">
        <v>28000</v>
      </c>
    </row>
    <row r="19" customFormat="false" ht="15" hidden="false" customHeight="false" outlineLevel="0" collapsed="false">
      <c r="H19" s="0" t="s">
        <v>137</v>
      </c>
      <c r="I19" s="0" t="n">
        <v>44000</v>
      </c>
    </row>
    <row r="20" customFormat="false" ht="15" hidden="false" customHeight="false" outlineLevel="0" collapsed="false">
      <c r="H20" s="0" t="s">
        <v>137</v>
      </c>
      <c r="I20" s="0" t="n">
        <v>85000</v>
      </c>
    </row>
    <row r="21" customFormat="false" ht="15" hidden="false" customHeight="false" outlineLevel="0" collapsed="false">
      <c r="H21" s="0" t="s">
        <v>166</v>
      </c>
      <c r="I21" s="0" t="n">
        <v>4500</v>
      </c>
    </row>
    <row r="22" customFormat="false" ht="15" hidden="false" customHeight="false" outlineLevel="0" collapsed="false">
      <c r="H22" s="0" t="s">
        <v>166</v>
      </c>
      <c r="I22" s="0" t="n">
        <v>4500</v>
      </c>
    </row>
    <row r="23" customFormat="false" ht="15" hidden="false" customHeight="false" outlineLevel="0" collapsed="false">
      <c r="H23" s="0" t="s">
        <v>166</v>
      </c>
      <c r="I23" s="0" t="n">
        <v>5500</v>
      </c>
    </row>
    <row r="24" customFormat="false" ht="15" hidden="false" customHeight="false" outlineLevel="0" collapsed="false">
      <c r="H24" s="0" t="s">
        <v>166</v>
      </c>
      <c r="I24" s="0" t="n">
        <v>5500</v>
      </c>
    </row>
    <row r="25" customFormat="false" ht="15" hidden="false" customHeight="false" outlineLevel="0" collapsed="false">
      <c r="H25" s="0" t="s">
        <v>166</v>
      </c>
      <c r="I25" s="0" t="n">
        <v>5800</v>
      </c>
    </row>
    <row r="26" customFormat="false" ht="15" hidden="false" customHeight="false" outlineLevel="0" collapsed="false">
      <c r="H26" s="0" t="s">
        <v>197</v>
      </c>
      <c r="I26" s="0" t="n">
        <v>11000</v>
      </c>
    </row>
    <row r="27" customFormat="false" ht="15" hidden="false" customHeight="false" outlineLevel="0" collapsed="false">
      <c r="H27" s="0" t="s">
        <v>197</v>
      </c>
      <c r="I27" s="0" t="n">
        <v>12000</v>
      </c>
    </row>
    <row r="28" customFormat="false" ht="15" hidden="false" customHeight="false" outlineLevel="0" collapsed="false">
      <c r="H28" s="0" t="s">
        <v>197</v>
      </c>
      <c r="I28" s="0" t="n">
        <v>9500</v>
      </c>
    </row>
    <row r="29" customFormat="false" ht="15" hidden="false" customHeight="false" outlineLevel="0" collapsed="false">
      <c r="H29" s="0" t="s">
        <v>197</v>
      </c>
      <c r="I29" s="0" t="n">
        <v>9000</v>
      </c>
    </row>
    <row r="30" customFormat="false" ht="15" hidden="false" customHeight="false" outlineLevel="0" collapsed="false">
      <c r="H30" s="0" t="s">
        <v>197</v>
      </c>
      <c r="I30" s="0" t="n">
        <v>12000</v>
      </c>
    </row>
    <row r="31" customFormat="false" ht="15" hidden="false" customHeight="false" outlineLevel="0" collapsed="false">
      <c r="H31" s="0" t="s">
        <v>197</v>
      </c>
      <c r="I31" s="0" t="n">
        <v>11500</v>
      </c>
    </row>
    <row r="32" customFormat="false" ht="15" hidden="false" customHeight="false" outlineLevel="0" collapsed="false">
      <c r="H32" s="0" t="s">
        <v>234</v>
      </c>
      <c r="I32" s="0" t="n">
        <v>12000</v>
      </c>
    </row>
    <row r="33" customFormat="false" ht="15" hidden="false" customHeight="false" outlineLevel="0" collapsed="false">
      <c r="H33" s="0" t="s">
        <v>234</v>
      </c>
      <c r="I33" s="0" t="n">
        <v>6500</v>
      </c>
    </row>
    <row r="34" customFormat="false" ht="15" hidden="false" customHeight="false" outlineLevel="0" collapsed="false">
      <c r="H34" s="0" t="s">
        <v>234</v>
      </c>
      <c r="I34" s="0" t="n">
        <v>6000</v>
      </c>
    </row>
    <row r="35" customFormat="false" ht="15" hidden="false" customHeight="false" outlineLevel="0" collapsed="false">
      <c r="H35" s="0" t="s">
        <v>234</v>
      </c>
      <c r="I35" s="0" t="n">
        <v>5500</v>
      </c>
    </row>
    <row r="36" customFormat="false" ht="15" hidden="false" customHeight="false" outlineLevel="0" collapsed="false">
      <c r="H36" s="0" t="s">
        <v>234</v>
      </c>
      <c r="I36" s="0" t="n">
        <v>7000</v>
      </c>
    </row>
    <row r="37" customFormat="false" ht="15" hidden="false" customHeight="false" outlineLevel="0" collapsed="false">
      <c r="H37" s="0" t="s">
        <v>265</v>
      </c>
      <c r="I37" s="0" t="n">
        <v>10300</v>
      </c>
    </row>
    <row r="38" customFormat="false" ht="15" hidden="false" customHeight="false" outlineLevel="0" collapsed="false">
      <c r="H38" s="0" t="s">
        <v>265</v>
      </c>
      <c r="I38" s="0" t="n">
        <v>10100</v>
      </c>
    </row>
    <row r="39" customFormat="false" ht="15" hidden="false" customHeight="false" outlineLevel="0" collapsed="false">
      <c r="H39" s="0" t="s">
        <v>265</v>
      </c>
      <c r="I39" s="0" t="n">
        <v>10500</v>
      </c>
    </row>
    <row r="40" customFormat="false" ht="15" hidden="false" customHeight="false" outlineLevel="0" collapsed="false">
      <c r="H40" s="0" t="s">
        <v>265</v>
      </c>
      <c r="I40" s="0" t="n">
        <v>10300</v>
      </c>
    </row>
    <row r="41" customFormat="false" ht="15" hidden="false" customHeight="false" outlineLevel="0" collapsed="false">
      <c r="H41" s="0" t="s">
        <v>265</v>
      </c>
      <c r="I41" s="0" t="n">
        <v>13000</v>
      </c>
    </row>
    <row r="42" customFormat="false" ht="15" hidden="false" customHeight="false" outlineLevel="0" collapsed="false">
      <c r="H42" s="0" t="s">
        <v>265</v>
      </c>
      <c r="I42" s="0" t="n">
        <v>10800</v>
      </c>
    </row>
    <row r="43" customFormat="false" ht="15" hidden="false" customHeight="false" outlineLevel="0" collapsed="false">
      <c r="H43" s="0" t="s">
        <v>265</v>
      </c>
      <c r="I43" s="0" t="n">
        <v>11200</v>
      </c>
    </row>
    <row r="44" customFormat="false" ht="15" hidden="false" customHeight="false" outlineLevel="0" collapsed="false">
      <c r="H44" s="0" t="s">
        <v>305</v>
      </c>
      <c r="I44" s="0" t="n">
        <v>3500</v>
      </c>
    </row>
    <row r="45" customFormat="false" ht="15" hidden="false" customHeight="false" outlineLevel="0" collapsed="false">
      <c r="H45" s="0" t="s">
        <v>305</v>
      </c>
      <c r="I45" s="0" t="n">
        <v>3800</v>
      </c>
    </row>
    <row r="46" customFormat="false" ht="15" hidden="false" customHeight="false" outlineLevel="0" collapsed="false">
      <c r="H46" s="0" t="s">
        <v>305</v>
      </c>
      <c r="I46" s="0" t="n">
        <v>4000</v>
      </c>
    </row>
    <row r="47" customFormat="false" ht="15" hidden="false" customHeight="false" outlineLevel="0" collapsed="false">
      <c r="H47" s="0" t="s">
        <v>305</v>
      </c>
      <c r="I47" s="0" t="n">
        <v>4500</v>
      </c>
    </row>
    <row r="48" customFormat="false" ht="15" hidden="false" customHeight="false" outlineLevel="0" collapsed="false">
      <c r="H48" s="0" t="s">
        <v>328</v>
      </c>
      <c r="I48" s="0" t="n">
        <v>6500</v>
      </c>
    </row>
    <row r="49" customFormat="false" ht="15" hidden="false" customHeight="false" outlineLevel="0" collapsed="false">
      <c r="H49" s="0" t="s">
        <v>328</v>
      </c>
      <c r="I49" s="0" t="n">
        <v>6800</v>
      </c>
    </row>
    <row r="50" customFormat="false" ht="15" hidden="false" customHeight="false" outlineLevel="0" collapsed="false">
      <c r="H50" s="0" t="s">
        <v>328</v>
      </c>
      <c r="I50" s="0" t="n">
        <v>4500</v>
      </c>
    </row>
    <row r="51" customFormat="false" ht="15" hidden="false" customHeight="false" outlineLevel="0" collapsed="false">
      <c r="H51" s="0" t="s">
        <v>328</v>
      </c>
      <c r="I51" s="0" t="n">
        <v>5000</v>
      </c>
    </row>
    <row r="52" customFormat="false" ht="15" hidden="false" customHeight="false" outlineLevel="0" collapsed="false">
      <c r="H52" s="0" t="s">
        <v>352</v>
      </c>
      <c r="I52" s="0" t="n">
        <v>10000</v>
      </c>
    </row>
    <row r="53" customFormat="false" ht="15" hidden="false" customHeight="false" outlineLevel="0" collapsed="false">
      <c r="H53" s="0" t="s">
        <v>352</v>
      </c>
      <c r="I53" s="0" t="n">
        <v>9500</v>
      </c>
    </row>
    <row r="54" customFormat="false" ht="15" hidden="false" customHeight="false" outlineLevel="0" collapsed="false">
      <c r="H54" s="0" t="s">
        <v>352</v>
      </c>
      <c r="I54" s="0" t="n">
        <v>8500</v>
      </c>
    </row>
    <row r="55" customFormat="false" ht="15" hidden="false" customHeight="false" outlineLevel="0" collapsed="false">
      <c r="H55" s="0" t="s">
        <v>352</v>
      </c>
      <c r="I55" s="0" t="n">
        <v>11000</v>
      </c>
    </row>
    <row r="56" customFormat="false" ht="15" hidden="false" customHeight="false" outlineLevel="0" collapsed="false">
      <c r="H56" s="0" t="s">
        <v>376</v>
      </c>
      <c r="I56" s="0" t="n">
        <v>14500</v>
      </c>
    </row>
    <row r="57" customFormat="false" ht="15" hidden="false" customHeight="false" outlineLevel="0" collapsed="false">
      <c r="H57" s="0" t="s">
        <v>376</v>
      </c>
      <c r="I57" s="0" t="n">
        <v>12500</v>
      </c>
    </row>
    <row r="58" customFormat="false" ht="15" hidden="false" customHeight="false" outlineLevel="0" collapsed="false">
      <c r="H58" s="0" t="s">
        <v>376</v>
      </c>
      <c r="I58" s="0" t="n">
        <v>22000</v>
      </c>
    </row>
    <row r="59" customFormat="false" ht="15" hidden="false" customHeight="false" outlineLevel="0" collapsed="false">
      <c r="H59" s="0" t="s">
        <v>396</v>
      </c>
      <c r="I59" s="0" t="n">
        <v>1000</v>
      </c>
    </row>
    <row r="60" customFormat="false" ht="15" hidden="false" customHeight="false" outlineLevel="0" collapsed="false">
      <c r="H60" s="0" t="s">
        <v>396</v>
      </c>
      <c r="I60" s="0" t="n">
        <v>1500</v>
      </c>
    </row>
    <row r="61" customFormat="false" ht="15" hidden="false" customHeight="false" outlineLevel="0" collapsed="false">
      <c r="H61" s="0" t="s">
        <v>396</v>
      </c>
      <c r="I61" s="0" t="n">
        <v>2000</v>
      </c>
    </row>
    <row r="62" customFormat="false" ht="15" hidden="false" customHeight="false" outlineLevel="0" collapsed="false">
      <c r="H62" s="0" t="s">
        <v>396</v>
      </c>
      <c r="I62" s="0" t="n">
        <v>2500</v>
      </c>
    </row>
    <row r="63" customFormat="false" ht="15" hidden="false" customHeight="false" outlineLevel="0" collapsed="false">
      <c r="H63" s="0" t="s">
        <v>396</v>
      </c>
      <c r="I63" s="0" t="n">
        <v>2500</v>
      </c>
    </row>
    <row r="64" customFormat="false" ht="15" hidden="false" customHeight="false" outlineLevel="0" collapsed="false">
      <c r="H64" s="0" t="s">
        <v>396</v>
      </c>
      <c r="I64" s="0" t="n">
        <v>800</v>
      </c>
    </row>
    <row r="65" customFormat="false" ht="15" hidden="false" customHeight="false" outlineLevel="0" collapsed="false">
      <c r="H65" s="0" t="s">
        <v>432</v>
      </c>
      <c r="I65" s="0" t="n">
        <v>4000</v>
      </c>
    </row>
    <row r="66" customFormat="false" ht="15" hidden="false" customHeight="false" outlineLevel="0" collapsed="false">
      <c r="H66" s="0" t="s">
        <v>432</v>
      </c>
      <c r="I66" s="0" t="n">
        <v>5500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2026-09-10T16:15:36Z</dcterms:created>
  <dc:creator>openpyxl</dc:creator>
  <dc:description/>
  <dc:language>en-US</dc:language>
  <cp:lastModifiedBy/>
  <dcterms:modified xsi:type="dcterms:W3CDTF">2026-09-10T16:16:59Z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